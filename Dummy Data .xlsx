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Talenta IT" sheetId="2" r:id="rId6"/>
    <sheet state="visible" name="Rate Card" sheetId="3" r:id="rId7"/>
    <sheet state="visible" name="PIC Klien" sheetId="4" r:id="rId8"/>
    <sheet state="visible" name="Prorata" sheetId="5" r:id="rId9"/>
    <sheet state="visible" name="PO" sheetId="6" r:id="rId10"/>
    <sheet state="visible" name="Pengajuan Invoicing" sheetId="7" r:id="rId11"/>
    <sheet state="visible" name="Aging Piutang" sheetId="8" r:id="rId12"/>
    <sheet state="visible" name="Penerbitan FP" sheetId="9" r:id="rId13"/>
    <sheet state="visible" name="Pelunasan PPh 23" sheetId="10" r:id="rId14"/>
  </sheets>
  <definedNames/>
  <calcPr/>
</workbook>
</file>

<file path=xl/sharedStrings.xml><?xml version="1.0" encoding="utf-8"?>
<sst xmlns="http://schemas.openxmlformats.org/spreadsheetml/2006/main" count="712" uniqueCount="323">
  <si>
    <t>NIK</t>
  </si>
  <si>
    <t>id</t>
  </si>
  <si>
    <t>Nama</t>
  </si>
  <si>
    <t>ID</t>
  </si>
  <si>
    <t>nama</t>
  </si>
  <si>
    <t>rate bulanan</t>
  </si>
  <si>
    <t>Nama PIC</t>
  </si>
  <si>
    <t>name</t>
  </si>
  <si>
    <t>berlaku dari</t>
  </si>
  <si>
    <t>Role</t>
  </si>
  <si>
    <t>Jabatan &amp; Perusahaan</t>
  </si>
  <si>
    <t>berlaku sampai</t>
  </si>
  <si>
    <t>email</t>
  </si>
  <si>
    <t>Kontak</t>
  </si>
  <si>
    <t>Penempatan</t>
  </si>
  <si>
    <t>client_name</t>
  </si>
  <si>
    <t>Type</t>
  </si>
  <si>
    <t>Kategori Jalur</t>
  </si>
  <si>
    <t>Aditya Aries Furkhan</t>
  </si>
  <si>
    <t>position</t>
  </si>
  <si>
    <t>Ayuni Ucha</t>
  </si>
  <si>
    <t>status_code</t>
  </si>
  <si>
    <t>Integration Service &amp; AI Orchestration Expert - PT XLSmart Telecom Sejahtera</t>
  </si>
  <si>
    <t>Source</t>
  </si>
  <si>
    <t>Java Developer</t>
  </si>
  <si>
    <t>placement_name</t>
  </si>
  <si>
    <t>ayuniu@xlsmart.co.id</t>
  </si>
  <si>
    <t>IDS-XL</t>
  </si>
  <si>
    <t>spk_start_date</t>
  </si>
  <si>
    <t>Jalur XL (CAC)</t>
  </si>
  <si>
    <t>Aldy Surya Prawita</t>
  </si>
  <si>
    <t>spk_actual_end_date</t>
  </si>
  <si>
    <t>Front End Developer</t>
  </si>
  <si>
    <t>rate_card</t>
  </si>
  <si>
    <t>IFG - Graha CIMB Niaga</t>
  </si>
  <si>
    <t>po_number</t>
  </si>
  <si>
    <t>Alvinkan Valya Salsabilla</t>
  </si>
  <si>
    <t>spk_number</t>
  </si>
  <si>
    <t>IT Project Manager</t>
  </si>
  <si>
    <t>Danamon Tower</t>
  </si>
  <si>
    <t>Andrianus Sukma Maria</t>
  </si>
  <si>
    <t>Fullstack Developer</t>
  </si>
  <si>
    <t>IDS-CIMB Bintaro</t>
  </si>
  <si>
    <t>Cahyo Baskoro</t>
  </si>
  <si>
    <t>Ratna Tri Wulandari</t>
  </si>
  <si>
    <t>Business Analyst.</t>
  </si>
  <si>
    <t>GM Integration Service &amp; AI Orchestration - PT XLSmart Telecom Sejahtera</t>
  </si>
  <si>
    <t>Graha Anabatic</t>
  </si>
  <si>
    <t>ratnat@xlsmart.co.id</t>
  </si>
  <si>
    <t>Elian Grady Adhitama</t>
  </si>
  <si>
    <t>Back End Developer</t>
  </si>
  <si>
    <t>Eko Adhi Wiyono</t>
  </si>
  <si>
    <t>Ernesto Juan Faria</t>
  </si>
  <si>
    <t>System Development Strategy Department Information Technology Division - PT. Bahana Pembinaan Usaha Indonesia</t>
  </si>
  <si>
    <t>Indomarco - Head Office</t>
  </si>
  <si>
    <t>eko.adhi@ifg.id</t>
  </si>
  <si>
    <t>aditya.furkhan@idstar.co.id</t>
  </si>
  <si>
    <t>Jalur Non-XL (BAST)</t>
  </si>
  <si>
    <t>Ery Dwi Wijayanto</t>
  </si>
  <si>
    <t>PT XLSMART Telecom Sejahtera. Tbk</t>
  </si>
  <si>
    <t>Quality Assurance</t>
  </si>
  <si>
    <t>Gitavian Virdiadhi</t>
  </si>
  <si>
    <t>PS_IDSTAR</t>
  </si>
  <si>
    <t>Technical Manager BASE24 - PT Bank Danamon Indonesia Tbk</t>
  </si>
  <si>
    <t>Fachrur Rozi</t>
  </si>
  <si>
    <t>gitavian.virdiadhi@danamon.co.id</t>
  </si>
  <si>
    <t>ACTIVE</t>
  </si>
  <si>
    <t>PT. IDstar Cipta Teknologi</t>
  </si>
  <si>
    <t>Yudha Purnama Malimas</t>
  </si>
  <si>
    <t>Fadillah Fahruddin</t>
  </si>
  <si>
    <t>Enterprise Gateway Application (EGA) - PT Bank CIMB Niaga TBK</t>
  </si>
  <si>
    <t>yudha.malimas@cimbniaga.co.id</t>
  </si>
  <si>
    <t>IDS-CIMB Synergy Building</t>
  </si>
  <si>
    <t>Gita Juwito Siahaan</t>
  </si>
  <si>
    <t>714/SPK 8 - IDS/IX/2026</t>
  </si>
  <si>
    <t>Prudential Center Kota Kasablanka</t>
  </si>
  <si>
    <t>Reka Pramudita</t>
  </si>
  <si>
    <t>Corporate System Development - PT. Anabatic Technologies</t>
  </si>
  <si>
    <t>I KM Ananda Wijaya Sunggraha</t>
  </si>
  <si>
    <t>reka.pramudita@anabatic.com</t>
  </si>
  <si>
    <t>BI Developer</t>
  </si>
  <si>
    <t>Istanto Irawan</t>
  </si>
  <si>
    <t>M. Fauzi Nur Abdulah</t>
  </si>
  <si>
    <t>IT Operation</t>
  </si>
  <si>
    <t>GM IT Project Management - PT XLSmart Telecom Sejahtera</t>
  </si>
  <si>
    <t>aldy.prawita@idstar.group</t>
  </si>
  <si>
    <t>MFAUZIN@xlsmart.co.id</t>
  </si>
  <si>
    <t>IFG Life</t>
  </si>
  <si>
    <t>Laurent Liaonardo</t>
  </si>
  <si>
    <t>Product Owner</t>
  </si>
  <si>
    <t>Krisandra Priyagama</t>
  </si>
  <si>
    <t>IDS - IFG BPUI</t>
  </si>
  <si>
    <t>Application Dev Head - Retail Sales &amp; Employee Experience Digital Enablement Development Information Technology - PT Bank CIMB Niaga TBK</t>
  </si>
  <si>
    <t>Lutvi Wahyudi</t>
  </si>
  <si>
    <t>IT Support</t>
  </si>
  <si>
    <t>IDS - Allo Bank</t>
  </si>
  <si>
    <t>Meilisa Putri Dwi Cahya</t>
  </si>
  <si>
    <t>647-1</t>
  </si>
  <si>
    <t>057/SPK 4 - IDS/V/2026_69</t>
  </si>
  <si>
    <t>Sahid Muttaqin</t>
  </si>
  <si>
    <t>Bank Digital BCA - Gedung Bank Royal</t>
  </si>
  <si>
    <t>IT Operations &amp; AI Ops Expert - PT XLSmart Telecom Sejahtera</t>
  </si>
  <si>
    <t>M Fauzan Murtadho</t>
  </si>
  <si>
    <t>sahidm@xlsmart.co.id</t>
  </si>
  <si>
    <t>Full Stack Developer</t>
  </si>
  <si>
    <t>IDS - INDICO</t>
  </si>
  <si>
    <t>Muhammad Fadhil Al fatih</t>
  </si>
  <si>
    <t>alvinkan.salsabilla@idstar.group</t>
  </si>
  <si>
    <t>Ade Wahyu</t>
  </si>
  <si>
    <t>Web Developer</t>
  </si>
  <si>
    <t>PT Bank Danamon Indonesia Tbk</t>
  </si>
  <si>
    <t>GM IT DevOps &amp; AI Engineering - PT XLSmart Telecom Sejahtera</t>
  </si>
  <si>
    <t>XLsmart Office</t>
  </si>
  <si>
    <t>PS_PARTNER</t>
  </si>
  <si>
    <t>syakil@xlsmart.co.id</t>
  </si>
  <si>
    <t>Muhammad Try Irawan</t>
  </si>
  <si>
    <t>PT. Star Techx Internasional</t>
  </si>
  <si>
    <t>Nicholas Nathaniel</t>
  </si>
  <si>
    <t>.Net Developer</t>
  </si>
  <si>
    <t>PO87655</t>
  </si>
  <si>
    <t>107/SPK 3 - IDS/IV/2026</t>
  </si>
  <si>
    <t>Mohd Syakil Bin Shahabudin</t>
  </si>
  <si>
    <t>SVP IT Operations &amp; AI Ops - PT XLSmart Telecom Sejahtera</t>
  </si>
  <si>
    <t>Budi Oktaviyan Suryanto</t>
  </si>
  <si>
    <t>andrianus.maria@idstar.group</t>
  </si>
  <si>
    <t>Application Development Head - Digital Onboarding &amp; Experience - PT Bank CIMB Niaga TBK</t>
  </si>
  <si>
    <t>PT Bank CIMB Niaga Tbk</t>
  </si>
  <si>
    <t>Budi.Suryanto@cimbniaga.co.id</t>
  </si>
  <si>
    <t>Raden Agung Wibisono</t>
  </si>
  <si>
    <t>IT Service Operations &amp; AI Ops Engineer - PT XLSmart Telecom Sejahtera</t>
  </si>
  <si>
    <t>radena@xlsmart.co.id</t>
  </si>
  <si>
    <t>CN/PO/20260204000118</t>
  </si>
  <si>
    <t>Sangra Nitikarachma</t>
  </si>
  <si>
    <t>011/SPK 3 - IDS/II/2026</t>
  </si>
  <si>
    <t>GM IT Service Operations &amp; AI Ops - PT XLSmart Telecom Sejahtera</t>
  </si>
  <si>
    <t>sangran@xlsmart.co.id</t>
  </si>
  <si>
    <t xml:space="preserve">Nabila Rifqayani </t>
  </si>
  <si>
    <t>People Acquisition Team - PT Telkomsel Ekosistem Digital</t>
  </si>
  <si>
    <t>nabila@indico.co.id</t>
  </si>
  <si>
    <t>cahyo.baskoro@idstar.co.id</t>
  </si>
  <si>
    <t>PT. Anabatic Technologies Tbk</t>
  </si>
  <si>
    <t>Bacharudin Abdur Rosyid Farisi</t>
  </si>
  <si>
    <t>IT Digital Platform &amp; AI Engineering Expert</t>
  </si>
  <si>
    <t>BACHARUDINA@xlsmart.co.id</t>
  </si>
  <si>
    <t>Nirwan Adi Praesta</t>
  </si>
  <si>
    <t>GM IT Digital Platform &amp; AI Engineering</t>
  </si>
  <si>
    <t>ATII260177</t>
  </si>
  <si>
    <t>Nirwana@xlsmart.co.id</t>
  </si>
  <si>
    <t>Kartika Sukmaningrum</t>
  </si>
  <si>
    <t>IT and Ops Vendor Management -PT Asuransi Jiwa IFG</t>
  </si>
  <si>
    <t>kartika.sukmaningrum@ifg-life.id</t>
  </si>
  <si>
    <t>Yuni Prasetiyaning Mustika</t>
  </si>
  <si>
    <t>Core Charging &amp; AI Revenue Management Engineer</t>
  </si>
  <si>
    <t>yunip@xlsmart.co.id</t>
  </si>
  <si>
    <t>I Gusti Made Astano</t>
  </si>
  <si>
    <t>297/SPK 11 - IDS/VIII/2026_66</t>
  </si>
  <si>
    <t>GM Core Charging &amp; AI Revenue Management</t>
  </si>
  <si>
    <t>igustim@xlsmart.co.id</t>
  </si>
  <si>
    <t>elian.grady@idstar.co.id</t>
  </si>
  <si>
    <t>404/SPK 12 - IDS/IX/2026</t>
  </si>
  <si>
    <t>ernesto.faria@idstar.group</t>
  </si>
  <si>
    <t>Indomarco</t>
  </si>
  <si>
    <t>0356/IDS/IDMP/VIII/2026</t>
  </si>
  <si>
    <t>079/SPK 1 - IDS/IX/2026</t>
  </si>
  <si>
    <t>ery.wijayanto@idstar.co.id</t>
  </si>
  <si>
    <t>699-1</t>
  </si>
  <si>
    <t>488/SPK 12 - IDS/V/2026_86</t>
  </si>
  <si>
    <t>fachrur.rozi@idstar.group</t>
  </si>
  <si>
    <t>PO.87601</t>
  </si>
  <si>
    <t>062/SPK 1 - IDS/IV/2026</t>
  </si>
  <si>
    <t>fadillah.fahruddin@idstar.group</t>
  </si>
  <si>
    <t>CN/PO/20260223000169</t>
  </si>
  <si>
    <t>022/SPK 1 - IDS/IV/2026_21</t>
  </si>
  <si>
    <t>gita.siahaan@idstar.group</t>
  </si>
  <si>
    <t>PT Prudential Life Assurance</t>
  </si>
  <si>
    <t>PLAI210475</t>
  </si>
  <si>
    <t>100/SPK 7 - IDS/VII/2026</t>
  </si>
  <si>
    <t>ananda.wijaya@idstar.group</t>
  </si>
  <si>
    <t>938/SPK 8 - IDS/VIII/2026</t>
  </si>
  <si>
    <t>istanto.irawan@idstar.group</t>
  </si>
  <si>
    <t>Freelance</t>
  </si>
  <si>
    <t>114/SPK/SPAPM/SP-ITPRC/VII/2025</t>
  </si>
  <si>
    <t>506/SPK 2 - IDS/VI/2026</t>
  </si>
  <si>
    <t>laurent.liaonardo@idstar.group</t>
  </si>
  <si>
    <t>IFG BPUI</t>
  </si>
  <si>
    <t>072/SPK 1 - IDS/VII/2026</t>
  </si>
  <si>
    <t>lutvi.wahyudi@idstar.group</t>
  </si>
  <si>
    <t>PT Allo Bank Indonesia Tbk</t>
  </si>
  <si>
    <t>040/SKL-FOH-UMM/2026</t>
  </si>
  <si>
    <t>004/SPK 2 - IDS/VII/2026</t>
  </si>
  <si>
    <t>meilisa.cahya@idstar.group</t>
  </si>
  <si>
    <t>Bank Digital BCA</t>
  </si>
  <si>
    <t>Ref</t>
  </si>
  <si>
    <t>Personel</t>
  </si>
  <si>
    <t>Hari Acuan</t>
  </si>
  <si>
    <t>Hadir</t>
  </si>
  <si>
    <t>094A/SPK/OMP/12/2025</t>
  </si>
  <si>
    <t>Rate Card</t>
  </si>
  <si>
    <t>028/SPK 2 - IDS/XII/2025</t>
  </si>
  <si>
    <t>Hasil Perhitungan</t>
  </si>
  <si>
    <t>Metode</t>
  </si>
  <si>
    <t>fauza.murtadho@idstar.group</t>
  </si>
  <si>
    <t>Indico</t>
  </si>
  <si>
    <t>019/SPK 3 - IDS/VII/2026</t>
  </si>
  <si>
    <t>muhammad.al-fatih@idstar.group</t>
  </si>
  <si>
    <t>PT. LG Sinarmas Technology Solutions</t>
  </si>
  <si>
    <t>nomor po</t>
  </si>
  <si>
    <t>009/PRC-PO/LGSM/IV/2026</t>
  </si>
  <si>
    <t>023/SPK 1 - IDS/IV/2026</t>
  </si>
  <si>
    <t>muhammad.irawan@idstar.co.id</t>
  </si>
  <si>
    <t>nama proyek</t>
  </si>
  <si>
    <t>klien</t>
  </si>
  <si>
    <t>266/SPK 13 - IDS/IX/2026</t>
  </si>
  <si>
    <t>pagu po</t>
  </si>
  <si>
    <t>Timesheet</t>
  </si>
  <si>
    <t>sisa pagu</t>
  </si>
  <si>
    <t>status</t>
  </si>
  <si>
    <t>nicholas.nathaniel@idstar.group</t>
  </si>
  <si>
    <t>EPC Development H1 2026</t>
  </si>
  <si>
    <t>0091/IDS/IDMP/II/2026</t>
  </si>
  <si>
    <t>063/SPK 1 - IDS/IV/2026</t>
  </si>
  <si>
    <t>Selesai</t>
  </si>
  <si>
    <t>PENGADAAN PENYEDIA JASA MANAGED SERVICE UNTUK PENGEMBANGAN APLIKASI DI DOMAIN CHANNEL &amp; DISTRIBUTION IFG DAN PERUSAHAAN AFILIASI (ONE BY IFG, ONE FORCE, ONE HEALTH, DAN ONE SPACE)</t>
  </si>
  <si>
    <t>Aktif</t>
  </si>
  <si>
    <t>Renewal Manage Service Junior IT Technical Analyst</t>
  </si>
  <si>
    <t>Web developer (Middle)-Layanan Tahunan</t>
  </si>
  <si>
    <t>Scrum Team Anabatic</t>
  </si>
  <si>
    <t>FWA Datamart Extension</t>
  </si>
  <si>
    <t>PENGADAAN PENYEDIA JASA MANAGED SERVICE UNTUK PENGEMBANGAN APLIKASI DI DOMAIN CORE SYSTEM IFG DAN PERUSAHAAN AFILIASI (EPICS DAN IFG PAY)</t>
  </si>
  <si>
    <t>DBank Pro 2.1 &amp; MCA Syariah &amp; 3DS Authentication In Dbank Pro</t>
  </si>
  <si>
    <t>periode</t>
  </si>
  <si>
    <t>Perpanjangan Bodyshop Arjuna (Squad Base 1 Jan 2026 - 31 Dec 2026)</t>
  </si>
  <si>
    <t>dpp tagihan</t>
  </si>
  <si>
    <t>Quality Assurance (Gita Juwito Siahaan)</t>
  </si>
  <si>
    <t xml:space="preserve">selisih gr </t>
  </si>
  <si>
    <t>ESS Scrum Hygiene 2026</t>
  </si>
  <si>
    <t>anaged Service IT Support untuk DCOM.</t>
  </si>
  <si>
    <t>enewal Managed Service L1 Data Center Allo Bank</t>
  </si>
  <si>
    <t>Jasa Konsultan Teknologi Informasi</t>
  </si>
  <si>
    <t>Diajukan</t>
  </si>
  <si>
    <t>Development Service Platform INDICO Fase Dua</t>
  </si>
  <si>
    <t>Web Application Junior</t>
  </si>
  <si>
    <t>OWS Development</t>
  </si>
  <si>
    <t>Resource .Net - Nicholas</t>
  </si>
  <si>
    <t>no invoice</t>
  </si>
  <si>
    <t>jatuh tempo</t>
  </si>
  <si>
    <t>total piutang</t>
  </si>
  <si>
    <t>umur piutang (hari)</t>
  </si>
  <si>
    <t>bucket aging</t>
  </si>
  <si>
    <t>kolektibilitas</t>
  </si>
  <si>
    <t>794/INV-IDS/IX/2026</t>
  </si>
  <si>
    <t>ref</t>
  </si>
  <si>
    <t>no faktur pajak djp</t>
  </si>
  <si>
    <t>tgl faktur</t>
  </si>
  <si>
    <t>dpp/gr</t>
  </si>
  <si>
    <t>ppn 11%</t>
  </si>
  <si>
    <t>Overdue Ringan</t>
  </si>
  <si>
    <t>total tagihan</t>
  </si>
  <si>
    <t>795/INV-IDS/IX/2026</t>
  </si>
  <si>
    <t>PT Indomarco Prismatama</t>
  </si>
  <si>
    <t>04002600397473466</t>
  </si>
  <si>
    <t>800/INV-IDS/IX/2026</t>
  </si>
  <si>
    <t>PT JAPFA Food Indonesia</t>
  </si>
  <si>
    <t>tgl bayar</t>
  </si>
  <si>
    <t>total invoice</t>
  </si>
  <si>
    <t>PPh 23 (2%)</t>
  </si>
  <si>
    <t>biaya bank</t>
  </si>
  <si>
    <t>masuk rekening</t>
  </si>
  <si>
    <t>818/INV-IDS/IX/2026</t>
  </si>
  <si>
    <t>PT Telkomsel Ekosistem Digital</t>
  </si>
  <si>
    <t>830/INV-IDS/IX/2026</t>
  </si>
  <si>
    <t>PT. BANK CIMB NIAGA TBK</t>
  </si>
  <si>
    <t>836/INV-IDS/IX/2026</t>
  </si>
  <si>
    <t>PT. ADIRA DINAMIKA MULTI FINANCE, TBK</t>
  </si>
  <si>
    <t>838/INV-IDS/IX/2026</t>
  </si>
  <si>
    <t>PT. XLSMART TELECOM SEJAHTERA</t>
  </si>
  <si>
    <t>04002600397473465</t>
  </si>
  <si>
    <t>841/INV-IDS/IX/2026</t>
  </si>
  <si>
    <t>PT Kustodian Sentral Efek Indonesia</t>
  </si>
  <si>
    <t>04002600395816186</t>
  </si>
  <si>
    <t>845/INV-IDS/IX/2026</t>
  </si>
  <si>
    <t>PT. BANK DANAMON INDONESIA,TBK</t>
  </si>
  <si>
    <t>04002600395816164</t>
  </si>
  <si>
    <t>860/INV-IDS/IX/2026</t>
  </si>
  <si>
    <t>PT Mehulinta Teknologi Analitik</t>
  </si>
  <si>
    <t>Diverifikasi</t>
  </si>
  <si>
    <t>Lancar</t>
  </si>
  <si>
    <t>867/INV-IDS/X/2026</t>
  </si>
  <si>
    <t>BPJS Kesehatan</t>
  </si>
  <si>
    <t>04002600388480038</t>
  </si>
  <si>
    <t>893/INV-IDS/X/2026</t>
  </si>
  <si>
    <t>PT Graha Karya Informasi</t>
  </si>
  <si>
    <t>04002600353017553</t>
  </si>
  <si>
    <t>Wait Verifikasi</t>
  </si>
  <si>
    <t>901/INV-IDS/X/2026</t>
  </si>
  <si>
    <t>PT. PRUDENTIAL LIFE ASSURANCE</t>
  </si>
  <si>
    <t>04002600353017552</t>
  </si>
  <si>
    <t>903/INV-IDS/X/2026</t>
  </si>
  <si>
    <t>PT LG Sinarmas Technology Solutions</t>
  </si>
  <si>
    <t>04002600353017549</t>
  </si>
  <si>
    <t>915/INV-IDS/X/2026</t>
  </si>
  <si>
    <t>PT Avrist Assurance</t>
  </si>
  <si>
    <t>04002600353017554</t>
  </si>
  <si>
    <t>917/INV-IDS/X/2026</t>
  </si>
  <si>
    <t>04002600353017551</t>
  </si>
  <si>
    <t>PT Bahana Pembinaan Usaha Indonesia</t>
  </si>
  <si>
    <t>929/INV-IDS/X/2026</t>
  </si>
  <si>
    <t>04002600351831305</t>
  </si>
  <si>
    <t>PT Asuransi Jiwa IFG</t>
  </si>
  <si>
    <t>939/INV-IDS/X/2026</t>
  </si>
  <si>
    <t>04012600347770781</t>
  </si>
  <si>
    <t>PT. SOLUSI TIGA SELARAS</t>
  </si>
  <si>
    <t>947/INV-IDS/X/2026</t>
  </si>
  <si>
    <t>04002600347770781</t>
  </si>
  <si>
    <t>PT Synnex Metrodata Indonesia</t>
  </si>
  <si>
    <t>948/INV-IDS/X/2026</t>
  </si>
  <si>
    <t>04002600405460092</t>
  </si>
  <si>
    <t>04002600405460087</t>
  </si>
  <si>
    <t>04002600402813857</t>
  </si>
  <si>
    <t>05002600402250842</t>
  </si>
  <si>
    <t>04002600347770776</t>
  </si>
  <si>
    <t>04002600346374184</t>
  </si>
  <si>
    <t>04002600355114513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</si>
</sst>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yyyy-mm"/>
    <numFmt numFmtId="166" formatCode="d&quot;-&quot;mmm&quot;-&quot;yy"/>
    <numFmt numFmtId="167" formatCode="d-mmm-yy"/>
    <numFmt numFmtId="168" formatCode="dd-mmm-yy"/>
  </numFmts>
  <fonts count="10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color theme="1"/>
      <name val="Arial"/>
    </font>
    <font>
      <sz val="11.0"/>
      <color theme="1"/>
      <name val="Poppins"/>
    </font>
    <font>
      <color theme="1"/>
      <name val="Calibri"/>
    </font>
    <font>
      <sz val="10.0"/>
      <color rgb="FF0D0D0D"/>
      <name val="Arial"/>
      <scheme val="minor"/>
    </font>
    <font>
      <sz val="12.0"/>
      <color rgb="FF0D0D0D"/>
      <name val="Arial"/>
      <scheme val="minor"/>
    </font>
    <font>
      <sz val="12.0"/>
      <color theme="1"/>
      <name val="Calibri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2" numFmtId="3" xfId="0" applyAlignment="1" applyFont="1" applyNumberFormat="1">
      <alignment readingOrder="0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2" numFmtId="0" xfId="0" applyFont="1"/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right" readingOrder="0" vertical="bottom"/>
    </xf>
    <xf borderId="0" fillId="0" fontId="3" numFmtId="165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2" fontId="5" numFmtId="166" xfId="0" applyAlignment="1" applyFill="1" applyFont="1" applyNumberFormat="1">
      <alignment horizontal="center" vertical="bottom"/>
    </xf>
    <xf borderId="0" fillId="0" fontId="6" numFmtId="0" xfId="0" applyFont="1"/>
    <xf borderId="0" fillId="0" fontId="7" numFmtId="0" xfId="0" applyFont="1"/>
    <xf borderId="0" fillId="0" fontId="8" numFmtId="0" xfId="0" applyAlignment="1" applyFont="1">
      <alignment vertical="bottom"/>
    </xf>
    <xf borderId="0" fillId="0" fontId="2" numFmtId="167" xfId="0" applyAlignment="1" applyFont="1" applyNumberFormat="1">
      <alignment readingOrder="0"/>
    </xf>
    <xf borderId="0" fillId="0" fontId="5" numFmtId="166" xfId="0" applyAlignment="1" applyFont="1" applyNumberFormat="1">
      <alignment horizontal="center" vertical="bottom"/>
    </xf>
    <xf borderId="0" fillId="2" fontId="5" numFmtId="166" xfId="0" applyAlignment="1" applyFill="1" applyFont="1" applyNumberFormat="1">
      <alignment horizontal="center" readingOrder="0" vertical="bottom"/>
    </xf>
    <xf borderId="0" fillId="0" fontId="2" numFmtId="3" xfId="0" applyFont="1" applyNumberFormat="1"/>
    <xf borderId="0" fillId="2" fontId="5" numFmtId="0" xfId="0" applyAlignment="1" applyFill="1" applyFont="1">
      <alignment vertical="bottom"/>
    </xf>
    <xf borderId="0" fillId="2" fontId="5" numFmtId="0" xfId="0" applyAlignment="1" applyFill="1" applyFont="1">
      <alignment readingOrder="0" vertical="bottom"/>
    </xf>
    <xf borderId="0" fillId="0" fontId="5" numFmtId="166" xfId="0" applyAlignment="1" applyFont="1" applyNumberFormat="1">
      <alignment horizontal="center" readingOrder="0" vertical="bottom"/>
    </xf>
    <xf borderId="0" fillId="0" fontId="2" numFmtId="168" xfId="0" applyAlignment="1" applyFont="1" applyNumberFormat="1">
      <alignment readingOrder="0"/>
    </xf>
    <xf borderId="0" fillId="0" fontId="9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7</v>
      </c>
      <c r="C2" s="1" t="s">
        <v>12</v>
      </c>
      <c r="D2" s="1" t="s">
        <v>15</v>
      </c>
      <c r="E2" s="1" t="s">
        <v>16</v>
      </c>
      <c r="F2" s="1" t="s">
        <v>19</v>
      </c>
      <c r="G2" s="1" t="s">
        <v>21</v>
      </c>
      <c r="H2" s="1" t="s">
        <v>23</v>
      </c>
      <c r="I2" s="1" t="s">
        <v>25</v>
      </c>
      <c r="J2" s="1" t="s">
        <v>28</v>
      </c>
      <c r="K2" s="1" t="s">
        <v>31</v>
      </c>
      <c r="L2" s="1" t="s">
        <v>33</v>
      </c>
      <c r="M2" s="1" t="s">
        <v>35</v>
      </c>
      <c r="N2" s="1" t="s">
        <v>37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>
        <v>923714.0</v>
      </c>
      <c r="B3" s="3" t="s">
        <v>18</v>
      </c>
      <c r="C3" s="3" t="s">
        <v>56</v>
      </c>
      <c r="D3" s="3" t="s">
        <v>59</v>
      </c>
      <c r="E3" s="3" t="s">
        <v>62</v>
      </c>
      <c r="F3" s="3" t="s">
        <v>24</v>
      </c>
      <c r="G3" s="3" t="s">
        <v>66</v>
      </c>
      <c r="H3" s="3" t="s">
        <v>67</v>
      </c>
      <c r="I3" s="3" t="s">
        <v>27</v>
      </c>
      <c r="J3" s="5">
        <v>46266.0</v>
      </c>
      <c r="K3" s="5">
        <v>46356.0</v>
      </c>
      <c r="L3" s="6">
        <v>2.0E7</v>
      </c>
      <c r="M3" s="6">
        <v>8.000168076E9</v>
      </c>
      <c r="N3" s="3" t="s">
        <v>74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">
        <v>2251057.0</v>
      </c>
      <c r="B4" s="3" t="s">
        <v>30</v>
      </c>
      <c r="C4" s="3" t="s">
        <v>85</v>
      </c>
      <c r="D4" s="3" t="s">
        <v>87</v>
      </c>
      <c r="E4" s="3" t="s">
        <v>62</v>
      </c>
      <c r="F4" s="3" t="s">
        <v>32</v>
      </c>
      <c r="G4" s="3" t="s">
        <v>66</v>
      </c>
      <c r="H4" s="3" t="s">
        <v>67</v>
      </c>
      <c r="I4" s="3" t="s">
        <v>34</v>
      </c>
      <c r="J4" s="5">
        <v>46143.0</v>
      </c>
      <c r="K4" s="5">
        <v>46418.0</v>
      </c>
      <c r="L4" s="6">
        <v>1.7117117E7</v>
      </c>
      <c r="M4" s="3" t="s">
        <v>97</v>
      </c>
      <c r="N4" s="3" t="s">
        <v>98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>
        <v>4251107.0</v>
      </c>
      <c r="B5" s="3" t="s">
        <v>36</v>
      </c>
      <c r="C5" s="3" t="s">
        <v>107</v>
      </c>
      <c r="D5" s="3" t="s">
        <v>110</v>
      </c>
      <c r="E5" s="3" t="s">
        <v>113</v>
      </c>
      <c r="F5" s="3" t="s">
        <v>38</v>
      </c>
      <c r="G5" s="3" t="s">
        <v>66</v>
      </c>
      <c r="H5" s="3" t="s">
        <v>116</v>
      </c>
      <c r="I5" s="3" t="s">
        <v>39</v>
      </c>
      <c r="J5" s="5">
        <v>46137.0</v>
      </c>
      <c r="K5" s="5">
        <v>46501.0</v>
      </c>
      <c r="L5" s="6">
        <v>1.188E7</v>
      </c>
      <c r="M5" s="3" t="s">
        <v>119</v>
      </c>
      <c r="N5" s="3" t="s">
        <v>120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>
        <v>1.1241011E7</v>
      </c>
      <c r="B6" s="3" t="s">
        <v>40</v>
      </c>
      <c r="C6" s="3" t="s">
        <v>124</v>
      </c>
      <c r="D6" s="3" t="s">
        <v>126</v>
      </c>
      <c r="E6" s="3" t="s">
        <v>62</v>
      </c>
      <c r="F6" s="3" t="s">
        <v>41</v>
      </c>
      <c r="G6" s="3" t="s">
        <v>66</v>
      </c>
      <c r="H6" s="3" t="s">
        <v>67</v>
      </c>
      <c r="I6" s="3" t="s">
        <v>42</v>
      </c>
      <c r="J6" s="5">
        <v>46080.0</v>
      </c>
      <c r="K6" s="5">
        <v>46444.0</v>
      </c>
      <c r="L6" s="6">
        <v>2.25E7</v>
      </c>
      <c r="M6" s="3" t="s">
        <v>131</v>
      </c>
      <c r="N6" s="3" t="s">
        <v>133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>
        <v>322297.0</v>
      </c>
      <c r="B7" s="3" t="s">
        <v>43</v>
      </c>
      <c r="C7" s="3" t="s">
        <v>139</v>
      </c>
      <c r="D7" s="3" t="s">
        <v>140</v>
      </c>
      <c r="E7" s="3" t="s">
        <v>62</v>
      </c>
      <c r="F7" s="3" t="s">
        <v>45</v>
      </c>
      <c r="G7" s="3" t="s">
        <v>66</v>
      </c>
      <c r="H7" s="3" t="s">
        <v>67</v>
      </c>
      <c r="I7" s="3" t="s">
        <v>47</v>
      </c>
      <c r="J7" s="5">
        <v>46252.0</v>
      </c>
      <c r="K7" s="5">
        <v>46343.0</v>
      </c>
      <c r="L7" s="6">
        <v>3.0E7</v>
      </c>
      <c r="M7" s="3" t="s">
        <v>146</v>
      </c>
      <c r="N7" s="3" t="s">
        <v>155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">
        <v>822404.0</v>
      </c>
      <c r="B8" s="3" t="s">
        <v>49</v>
      </c>
      <c r="C8" s="3" t="s">
        <v>158</v>
      </c>
      <c r="D8" s="3" t="s">
        <v>59</v>
      </c>
      <c r="E8" s="3" t="s">
        <v>62</v>
      </c>
      <c r="F8" s="3" t="s">
        <v>50</v>
      </c>
      <c r="G8" s="3" t="s">
        <v>66</v>
      </c>
      <c r="H8" s="3" t="s">
        <v>67</v>
      </c>
      <c r="I8" s="3" t="s">
        <v>27</v>
      </c>
      <c r="J8" s="5">
        <v>46266.0</v>
      </c>
      <c r="K8" s="5">
        <v>46326.0</v>
      </c>
      <c r="L8" s="6">
        <v>2.3E7</v>
      </c>
      <c r="M8" s="6">
        <v>8.000168076E9</v>
      </c>
      <c r="N8" s="3" t="s">
        <v>159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">
        <v>826079.0</v>
      </c>
      <c r="B9" s="3" t="s">
        <v>52</v>
      </c>
      <c r="C9" s="3" t="s">
        <v>160</v>
      </c>
      <c r="D9" s="3" t="s">
        <v>161</v>
      </c>
      <c r="E9" s="3" t="s">
        <v>113</v>
      </c>
      <c r="F9" s="3" t="s">
        <v>50</v>
      </c>
      <c r="G9" s="3" t="s">
        <v>66</v>
      </c>
      <c r="H9" s="3" t="s">
        <v>116</v>
      </c>
      <c r="I9" s="3" t="s">
        <v>54</v>
      </c>
      <c r="J9" s="5">
        <v>46266.0</v>
      </c>
      <c r="K9" s="5">
        <v>46446.0</v>
      </c>
      <c r="L9" s="6">
        <v>1.35E7</v>
      </c>
      <c r="M9" s="3" t="s">
        <v>162</v>
      </c>
      <c r="N9" s="3" t="s">
        <v>163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6">
        <v>1122488.0</v>
      </c>
      <c r="B10" s="3" t="s">
        <v>58</v>
      </c>
      <c r="C10" s="3" t="s">
        <v>164</v>
      </c>
      <c r="D10" s="3" t="s">
        <v>87</v>
      </c>
      <c r="E10" s="3" t="s">
        <v>62</v>
      </c>
      <c r="F10" s="3" t="s">
        <v>60</v>
      </c>
      <c r="G10" s="3" t="s">
        <v>66</v>
      </c>
      <c r="H10" s="3" t="s">
        <v>67</v>
      </c>
      <c r="I10" s="3" t="s">
        <v>34</v>
      </c>
      <c r="J10" s="5">
        <v>46143.0</v>
      </c>
      <c r="K10" s="5">
        <v>46418.0</v>
      </c>
      <c r="L10" s="6">
        <v>1.8918818E7</v>
      </c>
      <c r="M10" s="3" t="s">
        <v>165</v>
      </c>
      <c r="N10" s="3" t="s">
        <v>166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>
        <v>326062.0</v>
      </c>
      <c r="B11" s="3" t="s">
        <v>64</v>
      </c>
      <c r="C11" s="3" t="s">
        <v>167</v>
      </c>
      <c r="D11" s="3" t="s">
        <v>110</v>
      </c>
      <c r="E11" s="3" t="s">
        <v>62</v>
      </c>
      <c r="F11" s="3" t="s">
        <v>50</v>
      </c>
      <c r="G11" s="3" t="s">
        <v>66</v>
      </c>
      <c r="H11" s="3" t="s">
        <v>67</v>
      </c>
      <c r="I11" s="3" t="s">
        <v>39</v>
      </c>
      <c r="J11" s="5">
        <v>46113.0</v>
      </c>
      <c r="K11" s="5">
        <v>46477.0</v>
      </c>
      <c r="L11" s="6">
        <v>9045598.0</v>
      </c>
      <c r="M11" s="3" t="s">
        <v>168</v>
      </c>
      <c r="N11" s="3" t="s">
        <v>169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">
        <v>426022.0</v>
      </c>
      <c r="B12" s="3" t="s">
        <v>69</v>
      </c>
      <c r="C12" s="3" t="s">
        <v>170</v>
      </c>
      <c r="D12" s="3" t="s">
        <v>126</v>
      </c>
      <c r="E12" s="3" t="s">
        <v>62</v>
      </c>
      <c r="F12" s="3" t="s">
        <v>32</v>
      </c>
      <c r="G12" s="3" t="s">
        <v>66</v>
      </c>
      <c r="H12" s="3" t="s">
        <v>67</v>
      </c>
      <c r="I12" s="3" t="s">
        <v>72</v>
      </c>
      <c r="J12" s="5">
        <v>46122.0</v>
      </c>
      <c r="K12" s="5">
        <v>46387.0</v>
      </c>
      <c r="L12" s="6">
        <v>2.34E7</v>
      </c>
      <c r="M12" s="3" t="s">
        <v>171</v>
      </c>
      <c r="N12" s="3" t="s">
        <v>172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">
        <v>4251100.0</v>
      </c>
      <c r="B13" s="3" t="s">
        <v>73</v>
      </c>
      <c r="C13" s="3" t="s">
        <v>173</v>
      </c>
      <c r="D13" s="3" t="s">
        <v>174</v>
      </c>
      <c r="E13" s="3" t="s">
        <v>113</v>
      </c>
      <c r="F13" s="3" t="s">
        <v>60</v>
      </c>
      <c r="G13" s="3" t="s">
        <v>66</v>
      </c>
      <c r="H13" s="3" t="s">
        <v>116</v>
      </c>
      <c r="I13" s="3" t="s">
        <v>75</v>
      </c>
      <c r="J13" s="5">
        <v>46204.0</v>
      </c>
      <c r="K13" s="5">
        <v>46387.0</v>
      </c>
      <c r="L13" s="6">
        <v>1.5711123E7</v>
      </c>
      <c r="M13" s="3" t="s">
        <v>175</v>
      </c>
      <c r="N13" s="3" t="s">
        <v>176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>
        <v>924938.0</v>
      </c>
      <c r="B14" s="3" t="s">
        <v>78</v>
      </c>
      <c r="C14" s="3" t="s">
        <v>177</v>
      </c>
      <c r="D14" s="3" t="s">
        <v>59</v>
      </c>
      <c r="E14" s="3" t="s">
        <v>62</v>
      </c>
      <c r="F14" s="3" t="s">
        <v>80</v>
      </c>
      <c r="G14" s="3" t="s">
        <v>66</v>
      </c>
      <c r="H14" s="3" t="s">
        <v>67</v>
      </c>
      <c r="I14" s="3" t="s">
        <v>27</v>
      </c>
      <c r="J14" s="5">
        <v>46235.0</v>
      </c>
      <c r="K14" s="5">
        <v>46356.0</v>
      </c>
      <c r="L14" s="6">
        <v>1.7E7</v>
      </c>
      <c r="M14" s="6">
        <v>8.000168824E9</v>
      </c>
      <c r="N14" s="3" t="s">
        <v>178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">
        <v>122506.0</v>
      </c>
      <c r="B15" s="3" t="s">
        <v>81</v>
      </c>
      <c r="C15" s="3" t="s">
        <v>179</v>
      </c>
      <c r="D15" s="3" t="s">
        <v>126</v>
      </c>
      <c r="E15" s="3" t="s">
        <v>113</v>
      </c>
      <c r="F15" s="3" t="s">
        <v>83</v>
      </c>
      <c r="G15" s="3" t="s">
        <v>66</v>
      </c>
      <c r="H15" s="3" t="s">
        <v>180</v>
      </c>
      <c r="I15" s="3" t="s">
        <v>42</v>
      </c>
      <c r="J15" s="5">
        <v>46203.0</v>
      </c>
      <c r="K15" s="5">
        <v>46567.0</v>
      </c>
      <c r="L15" s="6">
        <v>1.0E7</v>
      </c>
      <c r="M15" s="3" t="s">
        <v>181</v>
      </c>
      <c r="N15" s="3" t="s">
        <v>182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6">
        <v>726072.0</v>
      </c>
      <c r="B16" s="3" t="s">
        <v>88</v>
      </c>
      <c r="C16" s="3" t="s">
        <v>183</v>
      </c>
      <c r="D16" s="3" t="s">
        <v>184</v>
      </c>
      <c r="E16" s="3" t="s">
        <v>62</v>
      </c>
      <c r="F16" s="3" t="s">
        <v>89</v>
      </c>
      <c r="G16" s="3" t="s">
        <v>66</v>
      </c>
      <c r="H16" s="3" t="s">
        <v>67</v>
      </c>
      <c r="I16" s="3" t="s">
        <v>91</v>
      </c>
      <c r="J16" s="5">
        <v>46205.0</v>
      </c>
      <c r="K16" s="5">
        <v>46478.0</v>
      </c>
      <c r="L16" s="6">
        <v>3.4807317E7</v>
      </c>
      <c r="M16" s="3" t="s">
        <v>165</v>
      </c>
      <c r="N16" s="3" t="s">
        <v>185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">
        <v>725004.0</v>
      </c>
      <c r="B17" s="3" t="s">
        <v>93</v>
      </c>
      <c r="C17" s="3" t="s">
        <v>186</v>
      </c>
      <c r="D17" s="3" t="s">
        <v>187</v>
      </c>
      <c r="E17" s="3" t="s">
        <v>113</v>
      </c>
      <c r="F17" s="3" t="s">
        <v>94</v>
      </c>
      <c r="G17" s="3" t="s">
        <v>66</v>
      </c>
      <c r="H17" s="3" t="s">
        <v>116</v>
      </c>
      <c r="I17" s="3" t="s">
        <v>95</v>
      </c>
      <c r="J17" s="5">
        <v>46204.0</v>
      </c>
      <c r="K17" s="5">
        <v>46568.0</v>
      </c>
      <c r="L17" s="6">
        <v>9370270.0</v>
      </c>
      <c r="M17" s="3" t="s">
        <v>188</v>
      </c>
      <c r="N17" s="3" t="s">
        <v>189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6">
        <v>925028.0</v>
      </c>
      <c r="B18" s="3" t="s">
        <v>96</v>
      </c>
      <c r="C18" s="3" t="s">
        <v>190</v>
      </c>
      <c r="D18" s="3" t="s">
        <v>191</v>
      </c>
      <c r="E18" s="3" t="s">
        <v>62</v>
      </c>
      <c r="F18" s="3" t="s">
        <v>60</v>
      </c>
      <c r="G18" s="3" t="s">
        <v>66</v>
      </c>
      <c r="H18" s="3" t="s">
        <v>67</v>
      </c>
      <c r="I18" s="3" t="s">
        <v>100</v>
      </c>
      <c r="J18" s="5">
        <v>46002.0</v>
      </c>
      <c r="K18" s="5">
        <v>46387.0</v>
      </c>
      <c r="L18" s="6">
        <v>2.3625E7</v>
      </c>
      <c r="M18" s="3" t="s">
        <v>196</v>
      </c>
      <c r="N18" s="3" t="s">
        <v>198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6">
        <v>925019.0</v>
      </c>
      <c r="B19" s="3" t="s">
        <v>102</v>
      </c>
      <c r="C19" s="3" t="s">
        <v>201</v>
      </c>
      <c r="D19" s="3" t="s">
        <v>202</v>
      </c>
      <c r="E19" s="3" t="s">
        <v>62</v>
      </c>
      <c r="F19" s="3" t="s">
        <v>104</v>
      </c>
      <c r="G19" s="3" t="s">
        <v>66</v>
      </c>
      <c r="H19" s="3" t="s">
        <v>67</v>
      </c>
      <c r="I19" s="3" t="s">
        <v>105</v>
      </c>
      <c r="J19" s="5">
        <v>46204.0</v>
      </c>
      <c r="K19" s="5">
        <v>46387.0</v>
      </c>
      <c r="L19" s="6">
        <v>2.125E7</v>
      </c>
      <c r="M19" s="6">
        <v>1.00000424E8</v>
      </c>
      <c r="N19" s="3" t="s">
        <v>203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6">
        <v>426023.0</v>
      </c>
      <c r="B20" s="3" t="s">
        <v>106</v>
      </c>
      <c r="C20" s="3" t="s">
        <v>204</v>
      </c>
      <c r="D20" s="3" t="s">
        <v>205</v>
      </c>
      <c r="E20" s="3" t="s">
        <v>62</v>
      </c>
      <c r="F20" s="3" t="s">
        <v>109</v>
      </c>
      <c r="G20" s="3" t="s">
        <v>66</v>
      </c>
      <c r="H20" s="3" t="s">
        <v>67</v>
      </c>
      <c r="I20" s="3" t="s">
        <v>112</v>
      </c>
      <c r="J20" s="5">
        <v>46125.0</v>
      </c>
      <c r="K20" s="5">
        <v>46458.0</v>
      </c>
      <c r="L20" s="6">
        <v>1.7E7</v>
      </c>
      <c r="M20" s="3" t="s">
        <v>207</v>
      </c>
      <c r="N20" s="3" t="s">
        <v>208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6">
        <v>222266.0</v>
      </c>
      <c r="B21" s="3" t="s">
        <v>115</v>
      </c>
      <c r="C21" s="3" t="s">
        <v>209</v>
      </c>
      <c r="D21" s="3" t="s">
        <v>59</v>
      </c>
      <c r="E21" s="3" t="s">
        <v>62</v>
      </c>
      <c r="F21" s="3" t="s">
        <v>60</v>
      </c>
      <c r="G21" s="3" t="s">
        <v>66</v>
      </c>
      <c r="H21" s="3" t="s">
        <v>67</v>
      </c>
      <c r="I21" s="3" t="s">
        <v>27</v>
      </c>
      <c r="J21" s="5">
        <v>46266.0</v>
      </c>
      <c r="K21" s="5">
        <v>46326.0</v>
      </c>
      <c r="L21" s="6">
        <v>1.6E7</v>
      </c>
      <c r="M21" s="6">
        <v>8.000148706E9</v>
      </c>
      <c r="N21" s="3" t="s">
        <v>212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6">
        <v>326063.0</v>
      </c>
      <c r="B22" s="3" t="s">
        <v>117</v>
      </c>
      <c r="C22" s="3" t="s">
        <v>217</v>
      </c>
      <c r="D22" s="3" t="s">
        <v>161</v>
      </c>
      <c r="E22" s="3" t="s">
        <v>113</v>
      </c>
      <c r="F22" s="3" t="s">
        <v>118</v>
      </c>
      <c r="G22" s="3" t="s">
        <v>66</v>
      </c>
      <c r="H22" s="3" t="s">
        <v>116</v>
      </c>
      <c r="I22" s="3" t="s">
        <v>54</v>
      </c>
      <c r="J22" s="5">
        <v>46113.0</v>
      </c>
      <c r="K22" s="5">
        <v>46295.0</v>
      </c>
      <c r="L22" s="6">
        <v>1.35E7</v>
      </c>
      <c r="M22" s="3" t="s">
        <v>219</v>
      </c>
      <c r="N22" s="3" t="s">
        <v>220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0.63"/>
  </cols>
  <sheetData>
    <row r="1">
      <c r="A1" s="2" t="s">
        <v>2</v>
      </c>
      <c r="B1" s="2" t="s">
        <v>9</v>
      </c>
      <c r="C1" s="2" t="s">
        <v>14</v>
      </c>
    </row>
    <row r="2">
      <c r="A2" s="3" t="s">
        <v>18</v>
      </c>
      <c r="B2" s="3" t="s">
        <v>24</v>
      </c>
      <c r="C2" s="3" t="s">
        <v>27</v>
      </c>
    </row>
    <row r="3">
      <c r="A3" s="3" t="s">
        <v>30</v>
      </c>
      <c r="B3" s="3" t="s">
        <v>32</v>
      </c>
      <c r="C3" s="3" t="s">
        <v>34</v>
      </c>
    </row>
    <row r="4">
      <c r="A4" s="3" t="s">
        <v>36</v>
      </c>
      <c r="B4" s="3" t="s">
        <v>38</v>
      </c>
      <c r="C4" s="3" t="s">
        <v>39</v>
      </c>
    </row>
    <row r="5">
      <c r="A5" s="3" t="s">
        <v>40</v>
      </c>
      <c r="B5" s="3" t="s">
        <v>41</v>
      </c>
      <c r="C5" s="3" t="s">
        <v>42</v>
      </c>
    </row>
    <row r="6">
      <c r="A6" s="3" t="s">
        <v>43</v>
      </c>
      <c r="B6" s="3" t="s">
        <v>45</v>
      </c>
      <c r="C6" s="3" t="s">
        <v>47</v>
      </c>
    </row>
    <row r="7">
      <c r="A7" s="3" t="s">
        <v>49</v>
      </c>
      <c r="B7" s="3" t="s">
        <v>50</v>
      </c>
      <c r="C7" s="3" t="s">
        <v>27</v>
      </c>
    </row>
    <row r="8">
      <c r="A8" s="3" t="s">
        <v>52</v>
      </c>
      <c r="B8" s="3" t="s">
        <v>50</v>
      </c>
      <c r="C8" s="3" t="s">
        <v>54</v>
      </c>
    </row>
    <row r="9">
      <c r="A9" s="3" t="s">
        <v>58</v>
      </c>
      <c r="B9" s="3" t="s">
        <v>60</v>
      </c>
      <c r="C9" s="3" t="s">
        <v>34</v>
      </c>
    </row>
    <row r="10">
      <c r="A10" s="3" t="s">
        <v>64</v>
      </c>
      <c r="B10" s="3" t="s">
        <v>50</v>
      </c>
      <c r="C10" s="3" t="s">
        <v>39</v>
      </c>
    </row>
    <row r="11">
      <c r="A11" s="3" t="s">
        <v>69</v>
      </c>
      <c r="B11" s="3" t="s">
        <v>32</v>
      </c>
      <c r="C11" s="3" t="s">
        <v>72</v>
      </c>
    </row>
    <row r="12">
      <c r="A12" s="3" t="s">
        <v>73</v>
      </c>
      <c r="B12" s="3" t="s">
        <v>60</v>
      </c>
      <c r="C12" s="3" t="s">
        <v>75</v>
      </c>
    </row>
    <row r="13">
      <c r="A13" s="3" t="s">
        <v>78</v>
      </c>
      <c r="B13" s="3" t="s">
        <v>80</v>
      </c>
      <c r="C13" s="3" t="s">
        <v>27</v>
      </c>
    </row>
    <row r="14">
      <c r="A14" s="3" t="s">
        <v>81</v>
      </c>
      <c r="B14" s="3" t="s">
        <v>83</v>
      </c>
      <c r="C14" s="3" t="s">
        <v>42</v>
      </c>
    </row>
    <row r="15">
      <c r="A15" s="3" t="s">
        <v>88</v>
      </c>
      <c r="B15" s="3" t="s">
        <v>89</v>
      </c>
      <c r="C15" s="3" t="s">
        <v>91</v>
      </c>
    </row>
    <row r="16">
      <c r="A16" s="3" t="s">
        <v>93</v>
      </c>
      <c r="B16" s="3" t="s">
        <v>94</v>
      </c>
      <c r="C16" s="3" t="s">
        <v>95</v>
      </c>
    </row>
    <row r="17">
      <c r="A17" s="3" t="s">
        <v>96</v>
      </c>
      <c r="B17" s="3" t="s">
        <v>60</v>
      </c>
      <c r="C17" s="3" t="s">
        <v>100</v>
      </c>
    </row>
    <row r="18">
      <c r="A18" s="3" t="s">
        <v>102</v>
      </c>
      <c r="B18" s="3" t="s">
        <v>104</v>
      </c>
      <c r="C18" s="3" t="s">
        <v>105</v>
      </c>
    </row>
    <row r="19">
      <c r="A19" s="3" t="s">
        <v>106</v>
      </c>
      <c r="B19" s="3" t="s">
        <v>109</v>
      </c>
      <c r="C19" s="3" t="s">
        <v>112</v>
      </c>
    </row>
    <row r="20">
      <c r="A20" s="3" t="s">
        <v>115</v>
      </c>
      <c r="B20" s="3" t="s">
        <v>60</v>
      </c>
      <c r="C20" s="3" t="s">
        <v>27</v>
      </c>
    </row>
    <row r="21">
      <c r="A21" s="3" t="s">
        <v>117</v>
      </c>
      <c r="B21" s="3" t="s">
        <v>118</v>
      </c>
      <c r="C21" s="3" t="s">
        <v>54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4</v>
      </c>
      <c r="C1" s="2" t="s">
        <v>5</v>
      </c>
      <c r="D1" s="2" t="s">
        <v>8</v>
      </c>
      <c r="E1" s="2" t="s">
        <v>11</v>
      </c>
    </row>
    <row r="2">
      <c r="A2" s="2">
        <v>1.0</v>
      </c>
      <c r="B2" s="3" t="s">
        <v>18</v>
      </c>
      <c r="C2" s="4">
        <v>3.5E7</v>
      </c>
      <c r="D2" s="5">
        <v>46266.0</v>
      </c>
      <c r="E2" s="5">
        <v>46356.0</v>
      </c>
    </row>
    <row r="3">
      <c r="A3" s="2">
        <v>2.0</v>
      </c>
      <c r="B3" s="3" t="s">
        <v>30</v>
      </c>
      <c r="C3" s="4">
        <v>5.0E7</v>
      </c>
      <c r="D3" s="5">
        <v>46143.0</v>
      </c>
      <c r="E3" s="5">
        <v>46418.0</v>
      </c>
    </row>
    <row r="4">
      <c r="A4" s="2">
        <v>3.0</v>
      </c>
      <c r="B4" s="3" t="s">
        <v>36</v>
      </c>
      <c r="C4" s="4">
        <v>2.7E7</v>
      </c>
      <c r="D4" s="5">
        <v>46137.0</v>
      </c>
      <c r="E4" s="5">
        <v>46501.0</v>
      </c>
    </row>
    <row r="5">
      <c r="A5" s="2">
        <v>4.0</v>
      </c>
      <c r="B5" s="3" t="s">
        <v>40</v>
      </c>
      <c r="C5" s="4">
        <v>3.8E7</v>
      </c>
      <c r="D5" s="5">
        <v>46080.0</v>
      </c>
      <c r="E5" s="5">
        <v>46444.0</v>
      </c>
    </row>
    <row r="6">
      <c r="A6" s="2">
        <v>5.0</v>
      </c>
      <c r="B6" s="3" t="s">
        <v>43</v>
      </c>
      <c r="C6" s="4">
        <v>2.2E7</v>
      </c>
      <c r="D6" s="5">
        <v>46252.0</v>
      </c>
      <c r="E6" s="5">
        <v>46343.0</v>
      </c>
    </row>
    <row r="7">
      <c r="A7" s="2">
        <v>6.0</v>
      </c>
      <c r="B7" s="3" t="s">
        <v>49</v>
      </c>
      <c r="C7" s="4">
        <v>3.3E7</v>
      </c>
      <c r="D7" s="5">
        <v>46266.0</v>
      </c>
      <c r="E7" s="5">
        <v>46326.0</v>
      </c>
    </row>
    <row r="8">
      <c r="A8" s="2">
        <v>7.0</v>
      </c>
      <c r="B8" s="3" t="s">
        <v>52</v>
      </c>
      <c r="C8" s="4">
        <v>2.5E7</v>
      </c>
      <c r="D8" s="5">
        <v>46266.0</v>
      </c>
      <c r="E8" s="5">
        <v>46446.0</v>
      </c>
    </row>
    <row r="9">
      <c r="A9" s="2">
        <v>8.0</v>
      </c>
      <c r="B9" s="3" t="s">
        <v>58</v>
      </c>
      <c r="C9" s="4">
        <v>2.7E7</v>
      </c>
      <c r="D9" s="5">
        <v>46143.0</v>
      </c>
      <c r="E9" s="5">
        <v>46418.0</v>
      </c>
    </row>
    <row r="10">
      <c r="A10" s="2">
        <v>9.0</v>
      </c>
      <c r="B10" s="3" t="s">
        <v>64</v>
      </c>
      <c r="C10" s="4">
        <v>3.1E7</v>
      </c>
      <c r="D10" s="5">
        <v>46113.0</v>
      </c>
      <c r="E10" s="5">
        <v>46477.0</v>
      </c>
    </row>
    <row r="11">
      <c r="A11" s="2">
        <v>10.0</v>
      </c>
      <c r="B11" s="3" t="s">
        <v>69</v>
      </c>
      <c r="C11" s="4">
        <v>2.0E7</v>
      </c>
      <c r="D11" s="5">
        <v>46122.0</v>
      </c>
      <c r="E11" s="5">
        <v>46387.0</v>
      </c>
    </row>
    <row r="12">
      <c r="A12" s="2">
        <v>11.0</v>
      </c>
      <c r="B12" s="3" t="s">
        <v>73</v>
      </c>
      <c r="C12" s="4">
        <v>2.1E7</v>
      </c>
      <c r="D12" s="5">
        <v>46204.0</v>
      </c>
      <c r="E12" s="5">
        <v>46387.0</v>
      </c>
    </row>
    <row r="13">
      <c r="A13" s="2">
        <v>12.0</v>
      </c>
      <c r="B13" s="3" t="s">
        <v>78</v>
      </c>
      <c r="C13" s="4">
        <v>1.95E7</v>
      </c>
      <c r="D13" s="5">
        <v>46235.0</v>
      </c>
      <c r="E13" s="5">
        <v>46356.0</v>
      </c>
    </row>
    <row r="14">
      <c r="A14" s="2">
        <v>13.0</v>
      </c>
      <c r="B14" s="3" t="s">
        <v>81</v>
      </c>
      <c r="C14" s="4">
        <v>1.85E7</v>
      </c>
      <c r="D14" s="5">
        <v>46203.0</v>
      </c>
      <c r="E14" s="5">
        <v>46567.0</v>
      </c>
    </row>
    <row r="15">
      <c r="A15" s="2">
        <v>14.0</v>
      </c>
      <c r="B15" s="3" t="s">
        <v>88</v>
      </c>
      <c r="C15" s="4">
        <v>3.4E7</v>
      </c>
      <c r="D15" s="5">
        <v>46205.0</v>
      </c>
      <c r="E15" s="5">
        <v>46478.0</v>
      </c>
    </row>
    <row r="16">
      <c r="A16" s="2">
        <v>15.0</v>
      </c>
      <c r="B16" s="3" t="s">
        <v>93</v>
      </c>
      <c r="C16" s="4">
        <v>3.6E7</v>
      </c>
      <c r="D16" s="5">
        <v>46204.0</v>
      </c>
      <c r="E16" s="5">
        <v>46568.0</v>
      </c>
    </row>
    <row r="17">
      <c r="A17" s="2">
        <v>16.0</v>
      </c>
      <c r="B17" s="3" t="s">
        <v>96</v>
      </c>
      <c r="C17" s="4">
        <v>1.8E7</v>
      </c>
      <c r="D17" s="5">
        <v>46002.0</v>
      </c>
      <c r="E17" s="5">
        <v>46387.0</v>
      </c>
    </row>
    <row r="18">
      <c r="A18" s="2">
        <v>17.0</v>
      </c>
      <c r="B18" s="3" t="s">
        <v>102</v>
      </c>
      <c r="C18" s="4">
        <v>2.9E7</v>
      </c>
      <c r="D18" s="5">
        <v>46204.0</v>
      </c>
      <c r="E18" s="5">
        <v>46387.0</v>
      </c>
    </row>
    <row r="19">
      <c r="A19" s="2">
        <v>18.0</v>
      </c>
      <c r="B19" s="3" t="s">
        <v>106</v>
      </c>
      <c r="C19" s="4">
        <v>1.9E7</v>
      </c>
      <c r="D19" s="5">
        <v>46125.0</v>
      </c>
      <c r="E19" s="5">
        <v>46458.0</v>
      </c>
    </row>
    <row r="20">
      <c r="A20" s="2">
        <v>19.0</v>
      </c>
      <c r="B20" s="3" t="s">
        <v>115</v>
      </c>
      <c r="C20" s="4">
        <v>2.4E7</v>
      </c>
      <c r="D20" s="5">
        <v>46266.0</v>
      </c>
      <c r="E20" s="5">
        <v>46326.0</v>
      </c>
    </row>
    <row r="21">
      <c r="A21" s="2">
        <v>20.0</v>
      </c>
      <c r="B21" s="3" t="s">
        <v>117</v>
      </c>
      <c r="C21" s="4">
        <v>3.7E7</v>
      </c>
      <c r="D21" s="5">
        <v>46113.0</v>
      </c>
      <c r="E21" s="5">
        <v>46295.0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</cols>
  <sheetData>
    <row r="1">
      <c r="A1" s="2" t="s">
        <v>3</v>
      </c>
      <c r="B1" s="2" t="s">
        <v>6</v>
      </c>
      <c r="C1" s="2" t="s">
        <v>10</v>
      </c>
      <c r="D1" s="2" t="s">
        <v>13</v>
      </c>
      <c r="E1" s="2" t="s">
        <v>17</v>
      </c>
    </row>
    <row r="2">
      <c r="A2" s="2">
        <v>1.0</v>
      </c>
      <c r="B2" s="2" t="s">
        <v>20</v>
      </c>
      <c r="C2" s="2" t="s">
        <v>22</v>
      </c>
      <c r="D2" s="2" t="s">
        <v>26</v>
      </c>
      <c r="E2" s="2" t="s">
        <v>29</v>
      </c>
    </row>
    <row r="3">
      <c r="A3" s="2">
        <v>2.0</v>
      </c>
      <c r="B3" s="2" t="s">
        <v>44</v>
      </c>
      <c r="C3" s="2" t="s">
        <v>46</v>
      </c>
      <c r="D3" s="2" t="s">
        <v>48</v>
      </c>
      <c r="E3" s="2" t="s">
        <v>29</v>
      </c>
    </row>
    <row r="4">
      <c r="A4" s="2">
        <v>3.0</v>
      </c>
      <c r="B4" s="2" t="s">
        <v>51</v>
      </c>
      <c r="C4" s="2" t="s">
        <v>53</v>
      </c>
      <c r="D4" s="2" t="s">
        <v>55</v>
      </c>
      <c r="E4" s="2" t="s">
        <v>57</v>
      </c>
    </row>
    <row r="5">
      <c r="A5" s="2">
        <v>4.0</v>
      </c>
      <c r="B5" s="2" t="s">
        <v>61</v>
      </c>
      <c r="C5" s="2" t="s">
        <v>63</v>
      </c>
      <c r="D5" s="2" t="s">
        <v>65</v>
      </c>
      <c r="E5" s="2" t="s">
        <v>57</v>
      </c>
    </row>
    <row r="6">
      <c r="A6" s="2">
        <v>5.0</v>
      </c>
      <c r="B6" s="2" t="s">
        <v>68</v>
      </c>
      <c r="C6" s="2" t="s">
        <v>70</v>
      </c>
      <c r="D6" s="2" t="s">
        <v>71</v>
      </c>
      <c r="E6" s="2" t="s">
        <v>57</v>
      </c>
    </row>
    <row r="7">
      <c r="A7" s="2">
        <v>6.0</v>
      </c>
      <c r="B7" s="2" t="s">
        <v>76</v>
      </c>
      <c r="C7" s="2" t="s">
        <v>77</v>
      </c>
      <c r="D7" s="2" t="s">
        <v>79</v>
      </c>
      <c r="E7" s="2" t="s">
        <v>57</v>
      </c>
    </row>
    <row r="8">
      <c r="A8" s="2">
        <v>7.0</v>
      </c>
      <c r="B8" s="2" t="s">
        <v>82</v>
      </c>
      <c r="C8" s="2" t="s">
        <v>84</v>
      </c>
      <c r="D8" s="2" t="s">
        <v>86</v>
      </c>
      <c r="E8" s="2" t="s">
        <v>29</v>
      </c>
    </row>
    <row r="9">
      <c r="A9" s="2">
        <v>8.0</v>
      </c>
      <c r="B9" s="2" t="s">
        <v>90</v>
      </c>
      <c r="C9" s="2" t="s">
        <v>92</v>
      </c>
      <c r="E9" s="2" t="s">
        <v>57</v>
      </c>
    </row>
    <row r="10">
      <c r="A10" s="2">
        <v>9.0</v>
      </c>
      <c r="B10" s="2" t="s">
        <v>99</v>
      </c>
      <c r="C10" s="2" t="s">
        <v>101</v>
      </c>
      <c r="D10" s="2" t="s">
        <v>103</v>
      </c>
      <c r="E10" s="2" t="s">
        <v>29</v>
      </c>
    </row>
    <row r="11">
      <c r="A11" s="2">
        <v>10.0</v>
      </c>
      <c r="B11" s="2" t="s">
        <v>108</v>
      </c>
      <c r="C11" s="2" t="s">
        <v>111</v>
      </c>
      <c r="D11" s="2" t="s">
        <v>114</v>
      </c>
      <c r="E11" s="2" t="s">
        <v>29</v>
      </c>
    </row>
    <row r="12">
      <c r="A12" s="2">
        <v>11.0</v>
      </c>
      <c r="B12" s="2" t="s">
        <v>121</v>
      </c>
      <c r="C12" s="2" t="s">
        <v>122</v>
      </c>
      <c r="D12" s="2" t="s">
        <v>114</v>
      </c>
      <c r="E12" s="2" t="s">
        <v>29</v>
      </c>
    </row>
    <row r="13">
      <c r="A13" s="2">
        <v>12.0</v>
      </c>
      <c r="B13" s="2" t="s">
        <v>123</v>
      </c>
      <c r="C13" s="2" t="s">
        <v>125</v>
      </c>
      <c r="D13" s="2" t="s">
        <v>127</v>
      </c>
      <c r="E13" s="2" t="s">
        <v>57</v>
      </c>
    </row>
    <row r="14">
      <c r="A14" s="2">
        <v>13.0</v>
      </c>
      <c r="B14" s="2" t="s">
        <v>128</v>
      </c>
      <c r="C14" s="2" t="s">
        <v>129</v>
      </c>
      <c r="D14" s="2" t="s">
        <v>130</v>
      </c>
      <c r="E14" s="2" t="s">
        <v>29</v>
      </c>
    </row>
    <row r="15">
      <c r="A15" s="2">
        <v>14.0</v>
      </c>
      <c r="B15" s="2" t="s">
        <v>132</v>
      </c>
      <c r="C15" s="2" t="s">
        <v>134</v>
      </c>
      <c r="D15" s="2" t="s">
        <v>135</v>
      </c>
      <c r="E15" s="2" t="s">
        <v>29</v>
      </c>
    </row>
    <row r="16">
      <c r="A16" s="2">
        <v>15.0</v>
      </c>
      <c r="B16" s="2" t="s">
        <v>136</v>
      </c>
      <c r="C16" s="2" t="s">
        <v>137</v>
      </c>
      <c r="D16" s="2" t="s">
        <v>138</v>
      </c>
      <c r="E16" s="2" t="s">
        <v>57</v>
      </c>
    </row>
    <row r="17">
      <c r="A17" s="2">
        <v>16.0</v>
      </c>
      <c r="B17" s="2" t="s">
        <v>141</v>
      </c>
      <c r="C17" s="2" t="s">
        <v>142</v>
      </c>
      <c r="D17" s="2" t="s">
        <v>143</v>
      </c>
      <c r="E17" s="2" t="s">
        <v>29</v>
      </c>
    </row>
    <row r="18">
      <c r="A18" s="2">
        <v>17.0</v>
      </c>
      <c r="B18" s="2" t="s">
        <v>144</v>
      </c>
      <c r="C18" s="2" t="s">
        <v>145</v>
      </c>
      <c r="D18" s="2" t="s">
        <v>147</v>
      </c>
      <c r="E18" s="2" t="s">
        <v>29</v>
      </c>
    </row>
    <row r="19">
      <c r="A19" s="2">
        <v>18.0</v>
      </c>
      <c r="B19" s="2" t="s">
        <v>148</v>
      </c>
      <c r="C19" s="2" t="s">
        <v>149</v>
      </c>
      <c r="D19" s="2" t="s">
        <v>150</v>
      </c>
      <c r="E19" s="2" t="s">
        <v>57</v>
      </c>
    </row>
    <row r="20">
      <c r="A20" s="2">
        <v>19.0</v>
      </c>
      <c r="B20" s="2" t="s">
        <v>151</v>
      </c>
      <c r="C20" s="2" t="s">
        <v>152</v>
      </c>
      <c r="D20" s="2" t="s">
        <v>153</v>
      </c>
      <c r="E20" s="2" t="s">
        <v>29</v>
      </c>
    </row>
    <row r="21">
      <c r="A21" s="2">
        <v>20.0</v>
      </c>
      <c r="B21" s="2" t="s">
        <v>154</v>
      </c>
      <c r="C21" s="2" t="s">
        <v>156</v>
      </c>
      <c r="D21" s="2" t="s">
        <v>157</v>
      </c>
      <c r="E21" s="2" t="s">
        <v>29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13"/>
  </cols>
  <sheetData>
    <row r="1">
      <c r="A1" s="2" t="s">
        <v>192</v>
      </c>
      <c r="B1" s="2" t="s">
        <v>193</v>
      </c>
      <c r="C1" s="2" t="s">
        <v>194</v>
      </c>
      <c r="D1" s="2" t="s">
        <v>195</v>
      </c>
      <c r="E1" s="2" t="s">
        <v>197</v>
      </c>
      <c r="F1" s="2" t="s">
        <v>199</v>
      </c>
      <c r="G1" s="2" t="s">
        <v>200</v>
      </c>
    </row>
    <row r="2">
      <c r="B2" s="7" t="s">
        <v>18</v>
      </c>
      <c r="C2" s="2">
        <v>22.0</v>
      </c>
      <c r="D2" s="2">
        <v>21.0</v>
      </c>
      <c r="E2" s="4">
        <v>3.5E7</v>
      </c>
      <c r="F2" s="4">
        <f t="shared" ref="F2:F21" si="1">D2/C2*E2</f>
        <v>33409090.91</v>
      </c>
      <c r="G2" s="2" t="s">
        <v>214</v>
      </c>
    </row>
    <row r="3">
      <c r="B3" s="7" t="s">
        <v>30</v>
      </c>
      <c r="C3" s="2">
        <v>22.0</v>
      </c>
      <c r="D3" s="2">
        <v>22.0</v>
      </c>
      <c r="E3" s="4">
        <v>5.0E7</v>
      </c>
      <c r="F3" s="4">
        <f t="shared" si="1"/>
        <v>50000000</v>
      </c>
      <c r="G3" s="2" t="s">
        <v>214</v>
      </c>
    </row>
    <row r="4">
      <c r="B4" s="7" t="s">
        <v>36</v>
      </c>
      <c r="C4" s="2">
        <v>22.0</v>
      </c>
      <c r="D4" s="2">
        <v>22.0</v>
      </c>
      <c r="E4" s="4">
        <v>2.7E7</v>
      </c>
      <c r="F4" s="4">
        <f t="shared" si="1"/>
        <v>27000000</v>
      </c>
      <c r="G4" s="2" t="s">
        <v>214</v>
      </c>
    </row>
    <row r="5">
      <c r="B5" s="7" t="s">
        <v>40</v>
      </c>
      <c r="C5" s="2">
        <v>22.0</v>
      </c>
      <c r="D5" s="2">
        <v>20.0</v>
      </c>
      <c r="E5" s="4">
        <v>3.8E7</v>
      </c>
      <c r="F5" s="4">
        <f t="shared" si="1"/>
        <v>34545454.55</v>
      </c>
      <c r="G5" s="2" t="s">
        <v>214</v>
      </c>
    </row>
    <row r="6">
      <c r="B6" s="7" t="s">
        <v>43</v>
      </c>
      <c r="C6" s="2">
        <v>22.0</v>
      </c>
      <c r="D6" s="2">
        <v>21.0</v>
      </c>
      <c r="E6" s="4">
        <v>2.2E7</v>
      </c>
      <c r="F6" s="4">
        <f t="shared" si="1"/>
        <v>21000000</v>
      </c>
      <c r="G6" s="2" t="s">
        <v>214</v>
      </c>
    </row>
    <row r="7">
      <c r="B7" s="7" t="s">
        <v>49</v>
      </c>
      <c r="C7" s="2">
        <v>22.0</v>
      </c>
      <c r="D7" s="2">
        <v>22.0</v>
      </c>
      <c r="E7" s="4">
        <v>3.3E7</v>
      </c>
      <c r="F7" s="4">
        <f t="shared" si="1"/>
        <v>33000000</v>
      </c>
      <c r="G7" s="2" t="s">
        <v>214</v>
      </c>
    </row>
    <row r="8">
      <c r="B8" s="7" t="s">
        <v>52</v>
      </c>
      <c r="C8" s="2">
        <v>22.0</v>
      </c>
      <c r="D8" s="2">
        <v>22.0</v>
      </c>
      <c r="E8" s="4">
        <v>2.5E7</v>
      </c>
      <c r="F8" s="4">
        <f t="shared" si="1"/>
        <v>25000000</v>
      </c>
      <c r="G8" s="2" t="s">
        <v>214</v>
      </c>
    </row>
    <row r="9">
      <c r="B9" s="7" t="s">
        <v>58</v>
      </c>
      <c r="C9" s="2">
        <v>22.0</v>
      </c>
      <c r="D9" s="2">
        <v>20.0</v>
      </c>
      <c r="E9" s="4">
        <v>2.7E7</v>
      </c>
      <c r="F9" s="4">
        <f t="shared" si="1"/>
        <v>24545454.55</v>
      </c>
      <c r="G9" s="2" t="s">
        <v>214</v>
      </c>
    </row>
    <row r="10">
      <c r="B10" s="7" t="s">
        <v>64</v>
      </c>
      <c r="C10" s="2">
        <v>22.0</v>
      </c>
      <c r="D10" s="2">
        <v>22.0</v>
      </c>
      <c r="E10" s="4">
        <v>3.1E7</v>
      </c>
      <c r="F10" s="4">
        <f t="shared" si="1"/>
        <v>31000000</v>
      </c>
      <c r="G10" s="2" t="s">
        <v>214</v>
      </c>
    </row>
    <row r="11">
      <c r="B11" s="7" t="s">
        <v>69</v>
      </c>
      <c r="C11" s="2">
        <v>22.0</v>
      </c>
      <c r="D11" s="2">
        <v>22.0</v>
      </c>
      <c r="E11" s="4">
        <v>2.0E7</v>
      </c>
      <c r="F11" s="4">
        <f t="shared" si="1"/>
        <v>20000000</v>
      </c>
      <c r="G11" s="2" t="s">
        <v>214</v>
      </c>
    </row>
    <row r="12">
      <c r="B12" s="7" t="s">
        <v>73</v>
      </c>
      <c r="C12" s="2">
        <v>22.0</v>
      </c>
      <c r="D12" s="2">
        <v>22.0</v>
      </c>
      <c r="E12" s="4">
        <v>2.1E7</v>
      </c>
      <c r="F12" s="4">
        <f t="shared" si="1"/>
        <v>21000000</v>
      </c>
      <c r="G12" s="2" t="s">
        <v>214</v>
      </c>
    </row>
    <row r="13">
      <c r="B13" s="7" t="s">
        <v>78</v>
      </c>
      <c r="C13" s="2">
        <v>22.0</v>
      </c>
      <c r="D13" s="2">
        <v>22.0</v>
      </c>
      <c r="E13" s="4">
        <v>1.95E7</v>
      </c>
      <c r="F13" s="4">
        <f t="shared" si="1"/>
        <v>19500000</v>
      </c>
      <c r="G13" s="2" t="s">
        <v>214</v>
      </c>
    </row>
    <row r="14">
      <c r="B14" s="7" t="s">
        <v>81</v>
      </c>
      <c r="C14" s="2">
        <v>22.0</v>
      </c>
      <c r="D14" s="2">
        <v>22.0</v>
      </c>
      <c r="E14" s="4">
        <v>1.85E7</v>
      </c>
      <c r="F14" s="4">
        <f t="shared" si="1"/>
        <v>18500000</v>
      </c>
      <c r="G14" s="2" t="s">
        <v>214</v>
      </c>
    </row>
    <row r="15">
      <c r="B15" s="7" t="s">
        <v>88</v>
      </c>
      <c r="C15" s="2">
        <v>22.0</v>
      </c>
      <c r="D15" s="2">
        <v>21.0</v>
      </c>
      <c r="E15" s="4">
        <v>3.4E7</v>
      </c>
      <c r="F15" s="4">
        <f t="shared" si="1"/>
        <v>32454545.45</v>
      </c>
      <c r="G15" s="2" t="s">
        <v>214</v>
      </c>
    </row>
    <row r="16">
      <c r="B16" s="7" t="s">
        <v>93</v>
      </c>
      <c r="C16" s="2">
        <v>22.0</v>
      </c>
      <c r="D16" s="2">
        <v>22.0</v>
      </c>
      <c r="E16" s="4">
        <v>3.6E7</v>
      </c>
      <c r="F16" s="4">
        <f t="shared" si="1"/>
        <v>36000000</v>
      </c>
      <c r="G16" s="2" t="s">
        <v>214</v>
      </c>
    </row>
    <row r="17">
      <c r="B17" s="7" t="s">
        <v>96</v>
      </c>
      <c r="C17" s="2">
        <v>22.0</v>
      </c>
      <c r="D17" s="2">
        <v>22.0</v>
      </c>
      <c r="E17" s="4">
        <v>1.8E7</v>
      </c>
      <c r="F17" s="4">
        <f t="shared" si="1"/>
        <v>18000000</v>
      </c>
      <c r="G17" s="2" t="s">
        <v>214</v>
      </c>
    </row>
    <row r="18">
      <c r="B18" s="7" t="s">
        <v>102</v>
      </c>
      <c r="C18" s="2">
        <v>22.0</v>
      </c>
      <c r="D18" s="2">
        <v>20.0</v>
      </c>
      <c r="E18" s="4">
        <v>2.9E7</v>
      </c>
      <c r="F18" s="4">
        <f t="shared" si="1"/>
        <v>26363636.36</v>
      </c>
      <c r="G18" s="2" t="s">
        <v>214</v>
      </c>
    </row>
    <row r="19">
      <c r="B19" s="7" t="s">
        <v>106</v>
      </c>
      <c r="C19" s="2">
        <v>22.0</v>
      </c>
      <c r="D19" s="2">
        <v>22.0</v>
      </c>
      <c r="E19" s="4">
        <v>1.9E7</v>
      </c>
      <c r="F19" s="4">
        <f t="shared" si="1"/>
        <v>19000000</v>
      </c>
      <c r="G19" s="2" t="s">
        <v>214</v>
      </c>
    </row>
    <row r="20">
      <c r="B20" s="7" t="s">
        <v>115</v>
      </c>
      <c r="C20" s="2">
        <v>22.0</v>
      </c>
      <c r="D20" s="2">
        <v>22.0</v>
      </c>
      <c r="E20" s="4">
        <v>2.4E7</v>
      </c>
      <c r="F20" s="4">
        <f t="shared" si="1"/>
        <v>24000000</v>
      </c>
      <c r="G20" s="2" t="s">
        <v>214</v>
      </c>
    </row>
    <row r="21">
      <c r="B21" s="7" t="s">
        <v>117</v>
      </c>
      <c r="C21" s="2">
        <v>22.0</v>
      </c>
      <c r="D21" s="2">
        <v>22.0</v>
      </c>
      <c r="E21" s="4">
        <v>3.7E7</v>
      </c>
      <c r="F21" s="4">
        <f t="shared" si="1"/>
        <v>37000000</v>
      </c>
      <c r="G21" s="2" t="s">
        <v>214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206</v>
      </c>
      <c r="B1" s="2" t="s">
        <v>210</v>
      </c>
      <c r="C1" s="2" t="s">
        <v>211</v>
      </c>
      <c r="D1" s="2" t="s">
        <v>213</v>
      </c>
      <c r="E1" s="2" t="s">
        <v>215</v>
      </c>
      <c r="F1" s="2" t="s">
        <v>216</v>
      </c>
    </row>
    <row r="2">
      <c r="A2" s="6">
        <v>8.000168076E9</v>
      </c>
      <c r="B2" s="9" t="s">
        <v>218</v>
      </c>
      <c r="C2" s="3" t="s">
        <v>59</v>
      </c>
      <c r="D2" s="4">
        <v>3.25E8</v>
      </c>
      <c r="E2" s="4">
        <v>0.0</v>
      </c>
      <c r="F2" s="2" t="s">
        <v>221</v>
      </c>
    </row>
    <row r="3">
      <c r="A3" s="3" t="s">
        <v>97</v>
      </c>
      <c r="B3" s="2" t="s">
        <v>222</v>
      </c>
      <c r="C3" s="3" t="s">
        <v>87</v>
      </c>
      <c r="D3" s="4">
        <v>2.74E8</v>
      </c>
      <c r="E3" s="4">
        <v>1.0E7</v>
      </c>
      <c r="F3" s="2" t="s">
        <v>223</v>
      </c>
    </row>
    <row r="4">
      <c r="A4" s="3" t="s">
        <v>119</v>
      </c>
      <c r="B4" s="2" t="s">
        <v>224</v>
      </c>
      <c r="C4" s="3" t="s">
        <v>110</v>
      </c>
      <c r="D4" s="4">
        <v>7.0E7</v>
      </c>
      <c r="E4" s="4">
        <v>1.5E7</v>
      </c>
      <c r="F4" s="2" t="s">
        <v>223</v>
      </c>
    </row>
    <row r="5">
      <c r="A5" s="3" t="s">
        <v>131</v>
      </c>
      <c r="B5" s="2" t="s">
        <v>225</v>
      </c>
      <c r="C5" s="3" t="s">
        <v>126</v>
      </c>
      <c r="D5" s="4">
        <v>1.95E8</v>
      </c>
      <c r="E5" s="4">
        <v>1.3E7</v>
      </c>
      <c r="F5" s="2" t="s">
        <v>223</v>
      </c>
    </row>
    <row r="6">
      <c r="A6" s="3" t="s">
        <v>146</v>
      </c>
      <c r="B6" s="2" t="s">
        <v>226</v>
      </c>
      <c r="C6" s="3" t="s">
        <v>140</v>
      </c>
      <c r="D6" s="4">
        <v>2.35E8</v>
      </c>
      <c r="E6" s="4">
        <v>0.0</v>
      </c>
      <c r="F6" s="2" t="s">
        <v>221</v>
      </c>
    </row>
    <row r="7">
      <c r="A7" s="9">
        <v>8.000173482E9</v>
      </c>
      <c r="B7" s="9" t="s">
        <v>227</v>
      </c>
      <c r="C7" s="3" t="s">
        <v>59</v>
      </c>
      <c r="D7" s="4">
        <v>5.0E8</v>
      </c>
      <c r="E7" s="4">
        <v>2.0E8</v>
      </c>
      <c r="F7" s="2" t="s">
        <v>223</v>
      </c>
    </row>
    <row r="8">
      <c r="A8" s="3" t="s">
        <v>162</v>
      </c>
      <c r="B8" s="2" t="s">
        <v>50</v>
      </c>
      <c r="C8" s="3" t="s">
        <v>161</v>
      </c>
      <c r="D8" s="4">
        <v>5.37E8</v>
      </c>
      <c r="E8" s="4">
        <v>1.2E8</v>
      </c>
      <c r="F8" s="2" t="s">
        <v>223</v>
      </c>
    </row>
    <row r="9">
      <c r="A9" s="3" t="s">
        <v>165</v>
      </c>
      <c r="B9" s="2" t="s">
        <v>228</v>
      </c>
      <c r="C9" s="3" t="s">
        <v>87</v>
      </c>
      <c r="D9" s="4">
        <v>9.5E8</v>
      </c>
      <c r="E9" s="4">
        <v>5.0E7</v>
      </c>
      <c r="F9" s="2" t="s">
        <v>223</v>
      </c>
    </row>
    <row r="10">
      <c r="A10" s="3" t="s">
        <v>168</v>
      </c>
      <c r="B10" s="2" t="s">
        <v>229</v>
      </c>
      <c r="C10" s="3" t="s">
        <v>110</v>
      </c>
      <c r="D10" s="4">
        <v>4.6E8</v>
      </c>
      <c r="E10" s="4">
        <v>1.25E8</v>
      </c>
      <c r="F10" s="2" t="s">
        <v>223</v>
      </c>
    </row>
    <row r="11">
      <c r="A11" s="3" t="s">
        <v>171</v>
      </c>
      <c r="B11" s="2" t="s">
        <v>231</v>
      </c>
      <c r="C11" s="3" t="s">
        <v>126</v>
      </c>
      <c r="D11" s="4">
        <v>3.2E8</v>
      </c>
      <c r="E11" s="4">
        <v>0.0</v>
      </c>
      <c r="F11" s="2" t="s">
        <v>221</v>
      </c>
    </row>
    <row r="12">
      <c r="A12" s="3" t="s">
        <v>175</v>
      </c>
      <c r="B12" s="2" t="s">
        <v>233</v>
      </c>
      <c r="C12" s="3" t="s">
        <v>174</v>
      </c>
      <c r="D12" s="4">
        <v>5.5E8</v>
      </c>
      <c r="E12" s="4">
        <v>8.0E7</v>
      </c>
      <c r="F12" s="2" t="s">
        <v>223</v>
      </c>
    </row>
    <row r="13">
      <c r="A13" s="6">
        <v>8.000168824E9</v>
      </c>
      <c r="B13" s="9" t="s">
        <v>235</v>
      </c>
      <c r="C13" s="3" t="s">
        <v>59</v>
      </c>
      <c r="D13" s="4">
        <v>6.1E7</v>
      </c>
      <c r="E13" s="4">
        <v>4.5E8</v>
      </c>
      <c r="F13" s="2" t="s">
        <v>223</v>
      </c>
    </row>
    <row r="14">
      <c r="A14" s="3" t="s">
        <v>181</v>
      </c>
      <c r="B14" s="2" t="s">
        <v>236</v>
      </c>
      <c r="C14" s="3" t="s">
        <v>126</v>
      </c>
      <c r="D14" s="4">
        <v>2.34E8</v>
      </c>
      <c r="E14" s="4">
        <v>0.0</v>
      </c>
      <c r="F14" s="2" t="s">
        <v>221</v>
      </c>
    </row>
    <row r="15">
      <c r="A15" s="3" t="s">
        <v>165</v>
      </c>
      <c r="B15" s="2" t="s">
        <v>228</v>
      </c>
      <c r="C15" s="3" t="s">
        <v>184</v>
      </c>
      <c r="D15" s="4">
        <v>4.3E7</v>
      </c>
      <c r="E15" s="4">
        <v>6.0E8</v>
      </c>
      <c r="F15" s="2" t="s">
        <v>223</v>
      </c>
    </row>
    <row r="16">
      <c r="A16" s="3" t="s">
        <v>188</v>
      </c>
      <c r="B16" s="2" t="s">
        <v>237</v>
      </c>
      <c r="C16" s="3" t="s">
        <v>187</v>
      </c>
      <c r="D16" s="4">
        <v>1.73E8</v>
      </c>
      <c r="E16" s="4">
        <v>0.0</v>
      </c>
      <c r="F16" s="2" t="s">
        <v>221</v>
      </c>
    </row>
    <row r="17">
      <c r="A17" s="3" t="s">
        <v>196</v>
      </c>
      <c r="B17" s="2" t="s">
        <v>238</v>
      </c>
      <c r="C17" s="3" t="s">
        <v>191</v>
      </c>
      <c r="D17" s="4">
        <v>3.45E8</v>
      </c>
      <c r="E17" s="4">
        <v>2.0E8</v>
      </c>
      <c r="F17" s="2" t="s">
        <v>223</v>
      </c>
    </row>
    <row r="18">
      <c r="A18" s="6">
        <v>1.00000424E8</v>
      </c>
      <c r="B18" s="2" t="s">
        <v>240</v>
      </c>
      <c r="C18" s="3" t="s">
        <v>202</v>
      </c>
      <c r="D18" s="4">
        <v>4.25E8</v>
      </c>
      <c r="E18" s="4">
        <v>7.5E7</v>
      </c>
      <c r="F18" s="2" t="s">
        <v>223</v>
      </c>
    </row>
    <row r="19">
      <c r="A19" s="3" t="s">
        <v>207</v>
      </c>
      <c r="B19" s="2" t="s">
        <v>241</v>
      </c>
      <c r="C19" s="3" t="s">
        <v>205</v>
      </c>
      <c r="D19" s="4">
        <v>5.23E8</v>
      </c>
      <c r="E19" s="4">
        <v>3.0E7</v>
      </c>
      <c r="F19" s="2" t="s">
        <v>223</v>
      </c>
    </row>
    <row r="20">
      <c r="A20" s="6">
        <v>8.000148706E9</v>
      </c>
      <c r="B20" s="13" t="s">
        <v>242</v>
      </c>
      <c r="C20" s="3" t="s">
        <v>59</v>
      </c>
      <c r="D20" s="4">
        <v>1.65E8</v>
      </c>
      <c r="E20" s="4">
        <v>4.7E8</v>
      </c>
      <c r="F20" s="2" t="s">
        <v>223</v>
      </c>
    </row>
    <row r="21">
      <c r="A21" s="3" t="s">
        <v>219</v>
      </c>
      <c r="B21" s="2" t="s">
        <v>243</v>
      </c>
      <c r="C21" s="3" t="s">
        <v>161</v>
      </c>
      <c r="D21" s="4">
        <v>3.9E8</v>
      </c>
      <c r="E21" s="4">
        <v>5.35E8</v>
      </c>
      <c r="F21" s="2" t="s">
        <v>223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</v>
      </c>
      <c r="B1" s="8" t="s">
        <v>230</v>
      </c>
      <c r="C1" s="8" t="s">
        <v>206</v>
      </c>
      <c r="D1" s="2" t="s">
        <v>211</v>
      </c>
      <c r="E1" s="2" t="s">
        <v>232</v>
      </c>
      <c r="F1" s="2" t="s">
        <v>234</v>
      </c>
      <c r="G1" s="2" t="s">
        <v>216</v>
      </c>
    </row>
    <row r="2">
      <c r="A2" s="10">
        <v>1.0</v>
      </c>
      <c r="B2" s="11">
        <v>46266.0</v>
      </c>
      <c r="C2" s="6">
        <v>8.000168076E9</v>
      </c>
      <c r="D2" s="3" t="s">
        <v>59</v>
      </c>
      <c r="E2" s="4">
        <v>3.25E8</v>
      </c>
      <c r="F2" s="4">
        <v>0.0</v>
      </c>
      <c r="G2" s="2" t="s">
        <v>239</v>
      </c>
    </row>
    <row r="3">
      <c r="A3" s="12">
        <v>2.0</v>
      </c>
      <c r="B3" s="11">
        <v>46267.0</v>
      </c>
      <c r="C3" s="3" t="s">
        <v>97</v>
      </c>
      <c r="D3" s="3" t="s">
        <v>87</v>
      </c>
      <c r="E3" s="4">
        <v>2.74E8</v>
      </c>
      <c r="F3" s="4">
        <v>0.0</v>
      </c>
      <c r="G3" s="2" t="s">
        <v>239</v>
      </c>
    </row>
    <row r="4">
      <c r="A4" s="10">
        <v>3.0</v>
      </c>
      <c r="B4" s="11">
        <v>46268.0</v>
      </c>
      <c r="C4" s="3" t="s">
        <v>119</v>
      </c>
      <c r="D4" s="3" t="s">
        <v>110</v>
      </c>
      <c r="E4" s="4">
        <v>7.0E7</v>
      </c>
      <c r="F4" s="4">
        <v>0.0</v>
      </c>
      <c r="G4" s="2" t="s">
        <v>239</v>
      </c>
    </row>
    <row r="5">
      <c r="A5" s="12">
        <v>4.0</v>
      </c>
      <c r="B5" s="11">
        <v>46269.0</v>
      </c>
      <c r="C5" s="3" t="s">
        <v>131</v>
      </c>
      <c r="D5" s="3" t="s">
        <v>126</v>
      </c>
      <c r="E5" s="4">
        <v>1.95E8</v>
      </c>
      <c r="F5" s="4">
        <v>0.0</v>
      </c>
      <c r="G5" s="2" t="s">
        <v>239</v>
      </c>
    </row>
    <row r="6">
      <c r="A6" s="10">
        <v>5.0</v>
      </c>
      <c r="B6" s="11">
        <v>46270.0</v>
      </c>
      <c r="C6" s="3" t="s">
        <v>146</v>
      </c>
      <c r="D6" s="3" t="s">
        <v>140</v>
      </c>
      <c r="E6" s="4">
        <v>2.35E8</v>
      </c>
      <c r="F6" s="4">
        <v>0.0</v>
      </c>
      <c r="G6" s="2" t="s">
        <v>239</v>
      </c>
    </row>
    <row r="7">
      <c r="A7" s="12">
        <v>6.0</v>
      </c>
      <c r="B7" s="11">
        <v>46271.0</v>
      </c>
      <c r="C7" s="9">
        <v>8.000173482E9</v>
      </c>
      <c r="D7" s="3" t="s">
        <v>59</v>
      </c>
      <c r="E7" s="4">
        <v>5.0E8</v>
      </c>
      <c r="F7" s="4">
        <v>0.0</v>
      </c>
      <c r="G7" s="2" t="s">
        <v>239</v>
      </c>
    </row>
    <row r="8">
      <c r="A8" s="10">
        <v>7.0</v>
      </c>
      <c r="B8" s="11">
        <v>46272.0</v>
      </c>
      <c r="C8" s="3" t="s">
        <v>162</v>
      </c>
      <c r="D8" s="3" t="s">
        <v>161</v>
      </c>
      <c r="E8" s="4">
        <v>5.37E8</v>
      </c>
      <c r="F8" s="4">
        <v>0.0</v>
      </c>
      <c r="G8" s="2" t="s">
        <v>239</v>
      </c>
    </row>
    <row r="9">
      <c r="A9" s="12">
        <v>8.0</v>
      </c>
      <c r="B9" s="11">
        <v>46273.0</v>
      </c>
      <c r="C9" s="3" t="s">
        <v>165</v>
      </c>
      <c r="D9" s="3" t="s">
        <v>87</v>
      </c>
      <c r="E9" s="4">
        <v>9.5E8</v>
      </c>
      <c r="F9" s="4">
        <v>0.0</v>
      </c>
      <c r="G9" s="2" t="s">
        <v>239</v>
      </c>
    </row>
    <row r="10">
      <c r="A10" s="10">
        <v>9.0</v>
      </c>
      <c r="B10" s="11">
        <v>46274.0</v>
      </c>
      <c r="C10" s="3" t="s">
        <v>168</v>
      </c>
      <c r="D10" s="3" t="s">
        <v>110</v>
      </c>
      <c r="E10" s="4">
        <v>4.6E8</v>
      </c>
      <c r="F10" s="4">
        <v>0.0</v>
      </c>
      <c r="G10" s="2" t="s">
        <v>239</v>
      </c>
    </row>
    <row r="11">
      <c r="A11" s="12">
        <v>10.0</v>
      </c>
      <c r="B11" s="11">
        <v>46275.0</v>
      </c>
      <c r="C11" s="3" t="s">
        <v>171</v>
      </c>
      <c r="D11" s="3" t="s">
        <v>126</v>
      </c>
      <c r="E11" s="4">
        <v>3.2E8</v>
      </c>
      <c r="F11" s="4">
        <v>0.0</v>
      </c>
      <c r="G11" s="2" t="s">
        <v>239</v>
      </c>
    </row>
    <row r="12">
      <c r="A12" s="10">
        <v>11.0</v>
      </c>
      <c r="B12" s="11">
        <v>46276.0</v>
      </c>
      <c r="C12" s="3" t="s">
        <v>175</v>
      </c>
      <c r="D12" s="3" t="s">
        <v>174</v>
      </c>
      <c r="E12" s="4">
        <v>5.5E8</v>
      </c>
      <c r="F12" s="4">
        <v>0.0</v>
      </c>
      <c r="G12" s="2" t="s">
        <v>239</v>
      </c>
    </row>
    <row r="13">
      <c r="A13" s="12">
        <v>12.0</v>
      </c>
      <c r="B13" s="11">
        <v>46277.0</v>
      </c>
      <c r="C13" s="6">
        <v>8.000168824E9</v>
      </c>
      <c r="D13" s="3" t="s">
        <v>59</v>
      </c>
      <c r="E13" s="4">
        <v>6.1E7</v>
      </c>
      <c r="F13" s="4">
        <v>0.0</v>
      </c>
      <c r="G13" s="2" t="s">
        <v>239</v>
      </c>
    </row>
    <row r="14">
      <c r="A14" s="10">
        <v>13.0</v>
      </c>
      <c r="B14" s="11">
        <v>46278.0</v>
      </c>
      <c r="C14" s="3" t="s">
        <v>181</v>
      </c>
      <c r="D14" s="3" t="s">
        <v>126</v>
      </c>
      <c r="E14" s="4">
        <v>2.34E8</v>
      </c>
      <c r="F14" s="4">
        <v>0.0</v>
      </c>
      <c r="G14" s="2" t="s">
        <v>239</v>
      </c>
    </row>
    <row r="15">
      <c r="A15" s="12">
        <v>14.0</v>
      </c>
      <c r="B15" s="11">
        <v>46279.0</v>
      </c>
      <c r="C15" s="3" t="s">
        <v>165</v>
      </c>
      <c r="D15" s="3" t="s">
        <v>184</v>
      </c>
      <c r="E15" s="4">
        <v>4.3E7</v>
      </c>
      <c r="F15" s="4">
        <v>0.0</v>
      </c>
      <c r="G15" s="2" t="s">
        <v>239</v>
      </c>
    </row>
    <row r="16">
      <c r="A16" s="10">
        <v>15.0</v>
      </c>
      <c r="B16" s="11">
        <v>46280.0</v>
      </c>
      <c r="C16" s="3" t="s">
        <v>188</v>
      </c>
      <c r="D16" s="3" t="s">
        <v>187</v>
      </c>
      <c r="E16" s="4">
        <v>1.73E8</v>
      </c>
      <c r="F16" s="4">
        <v>0.0</v>
      </c>
      <c r="G16" s="2" t="s">
        <v>239</v>
      </c>
    </row>
    <row r="17">
      <c r="A17" s="12">
        <v>16.0</v>
      </c>
      <c r="B17" s="11">
        <v>46281.0</v>
      </c>
      <c r="C17" s="3" t="s">
        <v>196</v>
      </c>
      <c r="D17" s="3" t="s">
        <v>191</v>
      </c>
      <c r="E17" s="4">
        <v>3.45E8</v>
      </c>
      <c r="F17" s="4">
        <v>0.0</v>
      </c>
      <c r="G17" s="2" t="s">
        <v>239</v>
      </c>
    </row>
    <row r="18">
      <c r="A18" s="10">
        <v>17.0</v>
      </c>
      <c r="B18" s="11">
        <v>46282.0</v>
      </c>
      <c r="C18" s="6">
        <v>1.00000424E8</v>
      </c>
      <c r="D18" s="3" t="s">
        <v>202</v>
      </c>
      <c r="E18" s="4">
        <v>4.25E8</v>
      </c>
      <c r="F18" s="4">
        <v>0.0</v>
      </c>
      <c r="G18" s="2" t="s">
        <v>239</v>
      </c>
    </row>
    <row r="19">
      <c r="A19" s="12">
        <v>18.0</v>
      </c>
      <c r="B19" s="11">
        <v>46283.0</v>
      </c>
      <c r="C19" s="3" t="s">
        <v>207</v>
      </c>
      <c r="D19" s="3" t="s">
        <v>205</v>
      </c>
      <c r="E19" s="4">
        <v>5.23E8</v>
      </c>
      <c r="F19" s="4">
        <v>0.0</v>
      </c>
      <c r="G19" s="2" t="s">
        <v>239</v>
      </c>
    </row>
    <row r="20">
      <c r="A20" s="10">
        <v>19.0</v>
      </c>
      <c r="B20" s="11">
        <v>46284.0</v>
      </c>
      <c r="C20" s="6">
        <v>8.000148706E9</v>
      </c>
      <c r="D20" s="3" t="s">
        <v>59</v>
      </c>
      <c r="E20" s="4">
        <v>1.65E8</v>
      </c>
      <c r="F20" s="4">
        <v>0.0</v>
      </c>
      <c r="G20" s="2" t="s">
        <v>239</v>
      </c>
    </row>
    <row r="21">
      <c r="A21" s="12">
        <v>20.0</v>
      </c>
      <c r="B21" s="11">
        <v>46285.0</v>
      </c>
      <c r="C21" s="3" t="s">
        <v>219</v>
      </c>
      <c r="D21" s="3" t="s">
        <v>161</v>
      </c>
      <c r="E21" s="4">
        <v>3.9E8</v>
      </c>
      <c r="F21" s="4">
        <v>0.0</v>
      </c>
      <c r="G21" s="2" t="s">
        <v>239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8" t="s">
        <v>244</v>
      </c>
      <c r="B3" s="2" t="s">
        <v>211</v>
      </c>
      <c r="C3" s="2" t="s">
        <v>245</v>
      </c>
      <c r="D3" s="2" t="s">
        <v>246</v>
      </c>
      <c r="E3" s="2" t="s">
        <v>247</v>
      </c>
      <c r="F3" s="2" t="s">
        <v>248</v>
      </c>
      <c r="G3" s="2" t="s">
        <v>249</v>
      </c>
    </row>
    <row r="4">
      <c r="A4" s="14" t="s">
        <v>250</v>
      </c>
      <c r="B4" s="12" t="s">
        <v>187</v>
      </c>
      <c r="C4" s="15">
        <v>46275.0</v>
      </c>
      <c r="D4" s="4">
        <v>6.5E7</v>
      </c>
      <c r="E4" s="7">
        <f t="shared" ref="E4:E23" si="1">today()-C4</f>
        <v>47</v>
      </c>
      <c r="F4" s="16" t="str">
        <f t="shared" ref="F4:F23" si="2">IF(E4&lt;=30,"0 - 30 Hari",IF(E4&lt;=60,"31 - 60 Hari",IF(E4&lt;=90,"61 - 90 Hari","&gt;90 Hari")))</f>
        <v>31 - 60 Hari</v>
      </c>
      <c r="G4" s="2" t="s">
        <v>256</v>
      </c>
      <c r="I4" s="17"/>
    </row>
    <row r="5">
      <c r="A5" s="14" t="s">
        <v>258</v>
      </c>
      <c r="B5" s="12" t="s">
        <v>259</v>
      </c>
      <c r="C5" s="15">
        <v>46275.0</v>
      </c>
      <c r="D5" s="4">
        <v>1.7E7</v>
      </c>
      <c r="E5" s="7">
        <f t="shared" si="1"/>
        <v>47</v>
      </c>
      <c r="F5" s="16" t="str">
        <f t="shared" si="2"/>
        <v>31 - 60 Hari</v>
      </c>
      <c r="G5" s="2" t="s">
        <v>256</v>
      </c>
    </row>
    <row r="6">
      <c r="A6" s="14" t="s">
        <v>261</v>
      </c>
      <c r="B6" s="12" t="s">
        <v>262</v>
      </c>
      <c r="C6" s="15">
        <v>46279.0</v>
      </c>
      <c r="D6" s="4">
        <v>4500000.0</v>
      </c>
      <c r="E6" s="7">
        <f t="shared" si="1"/>
        <v>43</v>
      </c>
      <c r="F6" s="16" t="str">
        <f t="shared" si="2"/>
        <v>31 - 60 Hari</v>
      </c>
      <c r="G6" s="2" t="s">
        <v>256</v>
      </c>
    </row>
    <row r="7">
      <c r="A7" s="14" t="s">
        <v>268</v>
      </c>
      <c r="B7" s="12" t="s">
        <v>269</v>
      </c>
      <c r="C7" s="20">
        <v>46281.0</v>
      </c>
      <c r="D7" s="4">
        <v>1.1E7</v>
      </c>
      <c r="E7" s="7">
        <f t="shared" si="1"/>
        <v>41</v>
      </c>
      <c r="F7" s="16" t="str">
        <f t="shared" si="2"/>
        <v>31 - 60 Hari</v>
      </c>
      <c r="G7" s="2" t="s">
        <v>256</v>
      </c>
    </row>
    <row r="8">
      <c r="A8" s="23" t="s">
        <v>270</v>
      </c>
      <c r="B8" s="12" t="s">
        <v>271</v>
      </c>
      <c r="C8" s="15">
        <v>46283.0</v>
      </c>
      <c r="D8" s="4">
        <v>7.3E7</v>
      </c>
      <c r="E8" s="7">
        <f t="shared" si="1"/>
        <v>39</v>
      </c>
      <c r="F8" s="16" t="str">
        <f t="shared" si="2"/>
        <v>31 - 60 Hari</v>
      </c>
      <c r="G8" s="2" t="s">
        <v>256</v>
      </c>
    </row>
    <row r="9">
      <c r="A9" s="23" t="s">
        <v>272</v>
      </c>
      <c r="B9" s="12" t="s">
        <v>273</v>
      </c>
      <c r="C9" s="15">
        <v>46283.0</v>
      </c>
      <c r="D9" s="4">
        <v>1.3E7</v>
      </c>
      <c r="E9" s="7">
        <f t="shared" si="1"/>
        <v>39</v>
      </c>
      <c r="F9" s="16" t="str">
        <f t="shared" si="2"/>
        <v>31 - 60 Hari</v>
      </c>
      <c r="G9" s="2" t="s">
        <v>256</v>
      </c>
    </row>
    <row r="10">
      <c r="A10" s="23" t="s">
        <v>274</v>
      </c>
      <c r="B10" s="12" t="s">
        <v>275</v>
      </c>
      <c r="C10" s="15">
        <v>46286.0</v>
      </c>
      <c r="D10" s="4">
        <v>1.5E8</v>
      </c>
      <c r="E10" s="7">
        <f t="shared" si="1"/>
        <v>36</v>
      </c>
      <c r="F10" s="16" t="str">
        <f t="shared" si="2"/>
        <v>31 - 60 Hari</v>
      </c>
      <c r="G10" s="2" t="s">
        <v>256</v>
      </c>
    </row>
    <row r="11">
      <c r="A11" s="23" t="s">
        <v>277</v>
      </c>
      <c r="B11" s="12" t="s">
        <v>278</v>
      </c>
      <c r="C11" s="15">
        <v>46286.0</v>
      </c>
      <c r="D11" s="4">
        <v>6.0E7</v>
      </c>
      <c r="E11" s="7">
        <f t="shared" si="1"/>
        <v>36</v>
      </c>
      <c r="F11" s="16" t="str">
        <f t="shared" si="2"/>
        <v>31 - 60 Hari</v>
      </c>
      <c r="G11" s="2" t="s">
        <v>256</v>
      </c>
    </row>
    <row r="12">
      <c r="A12" s="23" t="s">
        <v>280</v>
      </c>
      <c r="B12" s="12" t="s">
        <v>281</v>
      </c>
      <c r="C12" s="15">
        <v>46287.0</v>
      </c>
      <c r="D12" s="4">
        <v>2.0E7</v>
      </c>
      <c r="E12" s="7">
        <f t="shared" si="1"/>
        <v>35</v>
      </c>
      <c r="F12" s="16" t="str">
        <f t="shared" si="2"/>
        <v>31 - 60 Hari</v>
      </c>
      <c r="G12" s="2" t="s">
        <v>256</v>
      </c>
    </row>
    <row r="13">
      <c r="A13" s="23" t="s">
        <v>283</v>
      </c>
      <c r="B13" s="12" t="s">
        <v>284</v>
      </c>
      <c r="C13" s="15">
        <v>46294.0</v>
      </c>
      <c r="D13" s="4">
        <v>1.9E7</v>
      </c>
      <c r="E13" s="7">
        <f t="shared" si="1"/>
        <v>28</v>
      </c>
      <c r="F13" s="16" t="str">
        <f t="shared" si="2"/>
        <v>0 - 30 Hari</v>
      </c>
      <c r="G13" s="2" t="s">
        <v>286</v>
      </c>
    </row>
    <row r="14">
      <c r="A14" s="14" t="s">
        <v>287</v>
      </c>
      <c r="B14" s="12" t="s">
        <v>288</v>
      </c>
      <c r="C14" s="20">
        <v>46296.0</v>
      </c>
      <c r="D14" s="4">
        <v>2.3E8</v>
      </c>
      <c r="E14" s="7">
        <f t="shared" si="1"/>
        <v>26</v>
      </c>
      <c r="F14" s="16" t="str">
        <f t="shared" si="2"/>
        <v>0 - 30 Hari</v>
      </c>
      <c r="G14" s="2" t="s">
        <v>286</v>
      </c>
    </row>
    <row r="15">
      <c r="A15" s="23" t="s">
        <v>290</v>
      </c>
      <c r="B15" s="12" t="s">
        <v>291</v>
      </c>
      <c r="C15" s="15">
        <v>46304.0</v>
      </c>
      <c r="D15" s="4">
        <v>7000000.0</v>
      </c>
      <c r="E15" s="7">
        <f t="shared" si="1"/>
        <v>18</v>
      </c>
      <c r="F15" s="16" t="str">
        <f t="shared" si="2"/>
        <v>0 - 30 Hari</v>
      </c>
      <c r="G15" s="2" t="s">
        <v>286</v>
      </c>
    </row>
    <row r="16">
      <c r="A16" s="23" t="s">
        <v>294</v>
      </c>
      <c r="B16" s="12" t="s">
        <v>295</v>
      </c>
      <c r="C16" s="15">
        <v>46307.0</v>
      </c>
      <c r="D16" s="4">
        <v>8.9E7</v>
      </c>
      <c r="E16" s="7">
        <f t="shared" si="1"/>
        <v>15</v>
      </c>
      <c r="F16" s="16" t="str">
        <f t="shared" si="2"/>
        <v>0 - 30 Hari</v>
      </c>
      <c r="G16" s="2" t="s">
        <v>286</v>
      </c>
    </row>
    <row r="17">
      <c r="A17" s="23" t="s">
        <v>297</v>
      </c>
      <c r="B17" s="12" t="s">
        <v>298</v>
      </c>
      <c r="C17" s="15">
        <v>46307.0</v>
      </c>
      <c r="D17" s="4">
        <v>1.9E7</v>
      </c>
      <c r="E17" s="7">
        <f t="shared" si="1"/>
        <v>15</v>
      </c>
      <c r="F17" s="16" t="str">
        <f t="shared" si="2"/>
        <v>0 - 30 Hari</v>
      </c>
      <c r="G17" s="2" t="s">
        <v>286</v>
      </c>
    </row>
    <row r="18">
      <c r="A18" s="24" t="s">
        <v>300</v>
      </c>
      <c r="B18" s="12" t="s">
        <v>301</v>
      </c>
      <c r="C18" s="25">
        <v>46309.0</v>
      </c>
      <c r="D18" s="4">
        <v>3.5E8</v>
      </c>
      <c r="E18" s="7">
        <f t="shared" si="1"/>
        <v>13</v>
      </c>
      <c r="F18" s="16" t="str">
        <f t="shared" si="2"/>
        <v>0 - 30 Hari</v>
      </c>
      <c r="G18" s="2" t="s">
        <v>286</v>
      </c>
    </row>
    <row r="19">
      <c r="A19" s="23" t="s">
        <v>303</v>
      </c>
      <c r="B19" s="12" t="s">
        <v>305</v>
      </c>
      <c r="C19" s="15">
        <v>46310.0</v>
      </c>
      <c r="D19" s="4">
        <v>2.1E7</v>
      </c>
      <c r="E19" s="7">
        <f t="shared" si="1"/>
        <v>12</v>
      </c>
      <c r="F19" s="16" t="str">
        <f t="shared" si="2"/>
        <v>0 - 30 Hari</v>
      </c>
      <c r="G19" s="2" t="s">
        <v>286</v>
      </c>
    </row>
    <row r="20">
      <c r="A20" s="23" t="s">
        <v>306</v>
      </c>
      <c r="B20" s="12" t="s">
        <v>308</v>
      </c>
      <c r="C20" s="15">
        <v>46311.0</v>
      </c>
      <c r="D20" s="4">
        <v>7.0E7</v>
      </c>
      <c r="E20" s="7">
        <f t="shared" si="1"/>
        <v>11</v>
      </c>
      <c r="F20" s="16" t="str">
        <f t="shared" si="2"/>
        <v>0 - 30 Hari</v>
      </c>
      <c r="G20" s="2" t="s">
        <v>286</v>
      </c>
    </row>
    <row r="21">
      <c r="A21" s="23" t="s">
        <v>309</v>
      </c>
      <c r="B21" s="12" t="s">
        <v>311</v>
      </c>
      <c r="C21" s="15">
        <v>46314.0</v>
      </c>
      <c r="D21" s="4">
        <v>5000000.0</v>
      </c>
      <c r="E21" s="7">
        <f t="shared" si="1"/>
        <v>8</v>
      </c>
      <c r="F21" s="16" t="str">
        <f t="shared" si="2"/>
        <v>0 - 30 Hari</v>
      </c>
      <c r="G21" s="2" t="s">
        <v>286</v>
      </c>
    </row>
    <row r="22">
      <c r="A22" s="24" t="s">
        <v>312</v>
      </c>
      <c r="B22" s="12" t="s">
        <v>314</v>
      </c>
      <c r="C22" s="15">
        <v>46317.0</v>
      </c>
      <c r="D22" s="4">
        <v>2.9E7</v>
      </c>
      <c r="E22" s="7">
        <f t="shared" si="1"/>
        <v>5</v>
      </c>
      <c r="F22" s="16" t="str">
        <f t="shared" si="2"/>
        <v>0 - 30 Hari</v>
      </c>
      <c r="G22" s="2" t="s">
        <v>286</v>
      </c>
    </row>
    <row r="23">
      <c r="A23" s="24" t="s">
        <v>315</v>
      </c>
      <c r="B23" s="12" t="s">
        <v>284</v>
      </c>
      <c r="C23" s="21">
        <v>46321.0</v>
      </c>
      <c r="D23" s="4">
        <v>1.4E7</v>
      </c>
      <c r="E23" s="7">
        <f t="shared" si="1"/>
        <v>1</v>
      </c>
      <c r="F23" s="16" t="str">
        <f t="shared" si="2"/>
        <v>0 - 30 Hari</v>
      </c>
      <c r="G23" s="2" t="s">
        <v>286</v>
      </c>
    </row>
    <row r="24">
      <c r="A24" s="12"/>
      <c r="B24" s="3"/>
      <c r="C24" s="4"/>
      <c r="D24" s="4"/>
    </row>
    <row r="25">
      <c r="A25" s="10"/>
      <c r="B25" s="3"/>
      <c r="C25" s="4"/>
      <c r="D25" s="4"/>
    </row>
    <row r="26">
      <c r="A26" s="12"/>
      <c r="B26" s="3"/>
      <c r="C26" s="4"/>
      <c r="D26" s="4"/>
    </row>
    <row r="27">
      <c r="A27" s="10"/>
      <c r="B27" s="3"/>
      <c r="C27" s="4"/>
      <c r="D27" s="4"/>
    </row>
    <row r="28">
      <c r="A28" s="12"/>
      <c r="B28" s="3"/>
      <c r="C28" s="4"/>
      <c r="D28" s="4"/>
    </row>
    <row r="29">
      <c r="A29" s="10"/>
      <c r="B29" s="3"/>
      <c r="C29" s="4"/>
      <c r="D29" s="4"/>
    </row>
    <row r="30">
      <c r="A30" s="12"/>
      <c r="B30" s="3"/>
      <c r="C30" s="4"/>
      <c r="D30" s="4"/>
    </row>
    <row r="31">
      <c r="A31" s="10"/>
      <c r="B31" s="3"/>
      <c r="C31" s="4"/>
      <c r="D31" s="4"/>
    </row>
    <row r="32">
      <c r="A32" s="12"/>
      <c r="B32" s="3"/>
      <c r="C32" s="4"/>
      <c r="D32" s="4"/>
    </row>
    <row r="33">
      <c r="A33" s="10"/>
      <c r="B33" s="3"/>
      <c r="C33" s="4"/>
      <c r="D33" s="4"/>
    </row>
    <row r="34">
      <c r="A34" s="12"/>
      <c r="B34" s="3"/>
      <c r="C34" s="4"/>
      <c r="D34" s="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251</v>
      </c>
      <c r="B2" s="2" t="s">
        <v>244</v>
      </c>
      <c r="C2" s="2" t="s">
        <v>252</v>
      </c>
      <c r="D2" s="2" t="s">
        <v>253</v>
      </c>
      <c r="E2" s="2" t="s">
        <v>254</v>
      </c>
      <c r="F2" s="2" t="s">
        <v>255</v>
      </c>
      <c r="G2" s="2" t="s">
        <v>257</v>
      </c>
    </row>
    <row r="3">
      <c r="A3" s="2">
        <v>1.0</v>
      </c>
      <c r="B3" s="14" t="s">
        <v>250</v>
      </c>
      <c r="C3" s="18" t="s">
        <v>260</v>
      </c>
      <c r="D3" s="19">
        <v>46245.0</v>
      </c>
      <c r="E3" s="4">
        <v>6.5E7</v>
      </c>
      <c r="F3" s="22">
        <f t="shared" ref="F3:F22" si="1">E3*11%</f>
        <v>7150000</v>
      </c>
      <c r="G3" s="22">
        <f t="shared" ref="G3:G22" si="2">E3+F3</f>
        <v>72150000</v>
      </c>
    </row>
    <row r="4">
      <c r="A4" s="2">
        <v>2.0</v>
      </c>
      <c r="B4" s="14" t="s">
        <v>258</v>
      </c>
      <c r="C4" s="18" t="s">
        <v>276</v>
      </c>
      <c r="D4" s="19">
        <v>46245.0</v>
      </c>
      <c r="E4" s="4">
        <v>1.7E7</v>
      </c>
      <c r="F4" s="22">
        <f t="shared" si="1"/>
        <v>1870000</v>
      </c>
      <c r="G4" s="22">
        <f t="shared" si="2"/>
        <v>18870000</v>
      </c>
      <c r="K4" s="19"/>
    </row>
    <row r="5">
      <c r="A5" s="2">
        <v>3.0</v>
      </c>
      <c r="B5" s="14" t="s">
        <v>261</v>
      </c>
      <c r="C5" s="18" t="s">
        <v>279</v>
      </c>
      <c r="D5" s="19">
        <v>46249.0</v>
      </c>
      <c r="E5" s="4">
        <v>4500000.0</v>
      </c>
      <c r="F5" s="22">
        <f t="shared" si="1"/>
        <v>495000</v>
      </c>
      <c r="G5" s="22">
        <f t="shared" si="2"/>
        <v>4995000</v>
      </c>
      <c r="K5" s="19"/>
    </row>
    <row r="6">
      <c r="A6" s="2">
        <v>4.0</v>
      </c>
      <c r="B6" s="14" t="s">
        <v>268</v>
      </c>
      <c r="C6" s="18" t="s">
        <v>282</v>
      </c>
      <c r="D6" s="19">
        <v>46251.0</v>
      </c>
      <c r="E6" s="4">
        <v>1.1E7</v>
      </c>
      <c r="F6" s="22">
        <f t="shared" si="1"/>
        <v>1210000</v>
      </c>
      <c r="G6" s="22">
        <f t="shared" si="2"/>
        <v>12210000</v>
      </c>
      <c r="K6" s="19"/>
    </row>
    <row r="7">
      <c r="A7" s="2">
        <v>5.0</v>
      </c>
      <c r="B7" s="23" t="s">
        <v>270</v>
      </c>
      <c r="C7" s="18" t="s">
        <v>289</v>
      </c>
      <c r="D7" s="19">
        <v>46253.0</v>
      </c>
      <c r="E7" s="4">
        <v>7.3E7</v>
      </c>
      <c r="F7" s="22">
        <f t="shared" si="1"/>
        <v>8030000</v>
      </c>
      <c r="G7" s="22">
        <f t="shared" si="2"/>
        <v>81030000</v>
      </c>
      <c r="K7" s="19"/>
    </row>
    <row r="8">
      <c r="A8" s="2">
        <v>6.0</v>
      </c>
      <c r="B8" s="23" t="s">
        <v>272</v>
      </c>
      <c r="C8" s="18" t="s">
        <v>292</v>
      </c>
      <c r="D8" s="19">
        <v>46253.0</v>
      </c>
      <c r="E8" s="4">
        <v>1.3E7</v>
      </c>
      <c r="F8" s="22">
        <f t="shared" si="1"/>
        <v>1430000</v>
      </c>
      <c r="G8" s="22">
        <f t="shared" si="2"/>
        <v>14430000</v>
      </c>
      <c r="K8" s="19"/>
    </row>
    <row r="9">
      <c r="A9" s="2">
        <v>7.0</v>
      </c>
      <c r="B9" s="23" t="s">
        <v>274</v>
      </c>
      <c r="C9" s="18" t="s">
        <v>296</v>
      </c>
      <c r="D9" s="19">
        <v>46256.0</v>
      </c>
      <c r="E9" s="4">
        <v>1.5E8</v>
      </c>
      <c r="F9" s="22">
        <f t="shared" si="1"/>
        <v>16500000</v>
      </c>
      <c r="G9" s="22">
        <f t="shared" si="2"/>
        <v>166500000</v>
      </c>
      <c r="K9" s="19"/>
    </row>
    <row r="10">
      <c r="A10" s="2">
        <v>8.0</v>
      </c>
      <c r="B10" s="23" t="s">
        <v>277</v>
      </c>
      <c r="C10" s="18" t="s">
        <v>299</v>
      </c>
      <c r="D10" s="19">
        <v>46256.0</v>
      </c>
      <c r="E10" s="4">
        <v>6.0E7</v>
      </c>
      <c r="F10" s="22">
        <f t="shared" si="1"/>
        <v>6600000</v>
      </c>
      <c r="G10" s="22">
        <f t="shared" si="2"/>
        <v>66600000</v>
      </c>
      <c r="K10" s="19"/>
    </row>
    <row r="11">
      <c r="A11" s="2">
        <v>9.0</v>
      </c>
      <c r="B11" s="23" t="s">
        <v>280</v>
      </c>
      <c r="C11" s="18" t="s">
        <v>302</v>
      </c>
      <c r="D11" s="19">
        <v>46257.0</v>
      </c>
      <c r="E11" s="4">
        <v>2.0E7</v>
      </c>
      <c r="F11" s="22">
        <f t="shared" si="1"/>
        <v>2200000</v>
      </c>
      <c r="G11" s="22">
        <f t="shared" si="2"/>
        <v>22200000</v>
      </c>
      <c r="K11" s="19"/>
    </row>
    <row r="12">
      <c r="A12" s="2">
        <v>10.0</v>
      </c>
      <c r="B12" s="23" t="s">
        <v>283</v>
      </c>
      <c r="C12" s="18" t="s">
        <v>304</v>
      </c>
      <c r="D12" s="19">
        <v>46264.0</v>
      </c>
      <c r="E12" s="4">
        <v>1.9E7</v>
      </c>
      <c r="F12" s="22">
        <f t="shared" si="1"/>
        <v>2090000</v>
      </c>
      <c r="G12" s="22">
        <f t="shared" si="2"/>
        <v>21090000</v>
      </c>
      <c r="K12" s="19"/>
    </row>
    <row r="13">
      <c r="A13" s="2">
        <v>11.0</v>
      </c>
      <c r="B13" s="14" t="s">
        <v>287</v>
      </c>
      <c r="C13" s="18" t="s">
        <v>307</v>
      </c>
      <c r="D13" s="19">
        <v>46264.0</v>
      </c>
      <c r="E13" s="4">
        <v>2.3E8</v>
      </c>
      <c r="F13" s="22">
        <f t="shared" si="1"/>
        <v>25300000</v>
      </c>
      <c r="G13" s="22">
        <f t="shared" si="2"/>
        <v>255300000</v>
      </c>
      <c r="K13" s="19"/>
    </row>
    <row r="14">
      <c r="A14" s="2">
        <v>12.0</v>
      </c>
      <c r="B14" s="23" t="s">
        <v>290</v>
      </c>
      <c r="C14" s="18" t="s">
        <v>310</v>
      </c>
      <c r="D14" s="19">
        <v>46262.0</v>
      </c>
      <c r="E14" s="4">
        <v>7000000.0</v>
      </c>
      <c r="F14" s="22">
        <f t="shared" si="1"/>
        <v>770000</v>
      </c>
      <c r="G14" s="22">
        <f t="shared" si="2"/>
        <v>7770000</v>
      </c>
      <c r="K14" s="19"/>
    </row>
    <row r="15">
      <c r="A15" s="2">
        <v>13.0</v>
      </c>
      <c r="B15" s="23" t="s">
        <v>294</v>
      </c>
      <c r="C15" s="18" t="s">
        <v>313</v>
      </c>
      <c r="D15" s="26">
        <v>46267.0</v>
      </c>
      <c r="E15" s="4">
        <v>8.9E7</v>
      </c>
      <c r="F15" s="22">
        <f t="shared" si="1"/>
        <v>9790000</v>
      </c>
      <c r="G15" s="22">
        <f t="shared" si="2"/>
        <v>98790000</v>
      </c>
      <c r="K15" s="19"/>
    </row>
    <row r="16">
      <c r="A16" s="2">
        <v>14.0</v>
      </c>
      <c r="B16" s="23" t="s">
        <v>297</v>
      </c>
      <c r="C16" s="18" t="s">
        <v>316</v>
      </c>
      <c r="D16" s="26">
        <v>46272.0</v>
      </c>
      <c r="E16" s="4">
        <v>1.9E7</v>
      </c>
      <c r="F16" s="22">
        <f t="shared" si="1"/>
        <v>2090000</v>
      </c>
      <c r="G16" s="22">
        <f t="shared" si="2"/>
        <v>21090000</v>
      </c>
      <c r="K16" s="26"/>
    </row>
    <row r="17">
      <c r="A17" s="2">
        <v>15.0</v>
      </c>
      <c r="B17" s="24" t="s">
        <v>300</v>
      </c>
      <c r="C17" s="18" t="s">
        <v>317</v>
      </c>
      <c r="D17" s="26">
        <v>46274.0</v>
      </c>
      <c r="E17" s="4">
        <v>3.5E8</v>
      </c>
      <c r="F17" s="22">
        <f t="shared" si="1"/>
        <v>38500000</v>
      </c>
      <c r="G17" s="22">
        <f t="shared" si="2"/>
        <v>388500000</v>
      </c>
      <c r="K17" s="26"/>
    </row>
    <row r="18">
      <c r="A18" s="2">
        <v>16.0</v>
      </c>
      <c r="B18" s="23" t="s">
        <v>303</v>
      </c>
      <c r="C18" s="18" t="s">
        <v>318</v>
      </c>
      <c r="D18" s="19">
        <v>46275.0</v>
      </c>
      <c r="E18" s="4">
        <v>2.1E7</v>
      </c>
      <c r="F18" s="22">
        <f t="shared" si="1"/>
        <v>2310000</v>
      </c>
      <c r="G18" s="22">
        <f t="shared" si="2"/>
        <v>23310000</v>
      </c>
      <c r="K18" s="26"/>
    </row>
    <row r="19">
      <c r="A19" s="2">
        <v>17.0</v>
      </c>
      <c r="B19" s="23" t="s">
        <v>306</v>
      </c>
      <c r="C19" s="18" t="s">
        <v>319</v>
      </c>
      <c r="D19" s="19">
        <v>46277.0</v>
      </c>
      <c r="E19" s="4">
        <v>7.0E7</v>
      </c>
      <c r="F19" s="22">
        <f t="shared" si="1"/>
        <v>7700000</v>
      </c>
      <c r="G19" s="22">
        <f t="shared" si="2"/>
        <v>77700000</v>
      </c>
      <c r="K19" s="19"/>
    </row>
    <row r="20">
      <c r="A20" s="2">
        <v>18.0</v>
      </c>
      <c r="B20" s="23" t="s">
        <v>309</v>
      </c>
      <c r="C20" s="18" t="s">
        <v>320</v>
      </c>
      <c r="D20" s="19">
        <v>46279.0</v>
      </c>
      <c r="E20" s="4">
        <v>5000000.0</v>
      </c>
      <c r="F20" s="22">
        <f t="shared" si="1"/>
        <v>550000</v>
      </c>
      <c r="G20" s="22">
        <f t="shared" si="2"/>
        <v>5550000</v>
      </c>
      <c r="K20" s="19"/>
    </row>
    <row r="21">
      <c r="A21" s="2">
        <v>19.0</v>
      </c>
      <c r="B21" s="24" t="s">
        <v>312</v>
      </c>
      <c r="C21" s="18" t="s">
        <v>321</v>
      </c>
      <c r="D21" s="19">
        <v>46281.0</v>
      </c>
      <c r="E21" s="4">
        <v>2.9E7</v>
      </c>
      <c r="F21" s="22">
        <f t="shared" si="1"/>
        <v>3190000</v>
      </c>
      <c r="G21" s="22">
        <f t="shared" si="2"/>
        <v>32190000</v>
      </c>
      <c r="K21" s="19"/>
    </row>
    <row r="22">
      <c r="A22" s="2">
        <v>20.0</v>
      </c>
      <c r="B22" s="24" t="s">
        <v>315</v>
      </c>
      <c r="C22" s="27" t="s">
        <v>322</v>
      </c>
      <c r="D22" s="19">
        <v>46283.0</v>
      </c>
      <c r="E22" s="4">
        <v>1.4E7</v>
      </c>
      <c r="F22" s="22">
        <f t="shared" si="1"/>
        <v>1540000</v>
      </c>
      <c r="G22" s="22">
        <f t="shared" si="2"/>
        <v>15540000</v>
      </c>
      <c r="K22" s="19"/>
    </row>
    <row r="23">
      <c r="K23" s="1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251</v>
      </c>
      <c r="B2" s="2" t="s">
        <v>263</v>
      </c>
      <c r="C2" s="2" t="s">
        <v>264</v>
      </c>
      <c r="D2" s="2" t="s">
        <v>265</v>
      </c>
      <c r="E2" s="2" t="s">
        <v>266</v>
      </c>
      <c r="F2" s="2" t="s">
        <v>267</v>
      </c>
      <c r="G2" s="2" t="s">
        <v>216</v>
      </c>
    </row>
    <row r="3">
      <c r="A3" s="2">
        <v>1.0</v>
      </c>
      <c r="B3" s="21">
        <v>46280.0</v>
      </c>
      <c r="C3" s="22">
        <v>7.215E7</v>
      </c>
      <c r="D3" s="22">
        <f t="shared" ref="D3:D22" si="1">C3*2%</f>
        <v>1443000</v>
      </c>
      <c r="E3" s="4">
        <v>6500.0</v>
      </c>
      <c r="F3" s="22">
        <f t="shared" ref="F3:F22" si="2">C3-D3-E3</f>
        <v>70700500</v>
      </c>
      <c r="G3" s="2" t="s">
        <v>285</v>
      </c>
    </row>
    <row r="4">
      <c r="A4" s="2">
        <v>2.0</v>
      </c>
      <c r="B4" s="21">
        <v>46280.0</v>
      </c>
      <c r="C4" s="22">
        <v>1.887E7</v>
      </c>
      <c r="D4" s="22">
        <f t="shared" si="1"/>
        <v>377400</v>
      </c>
      <c r="E4" s="4">
        <v>6500.0</v>
      </c>
      <c r="F4" s="22">
        <f t="shared" si="2"/>
        <v>18486100</v>
      </c>
      <c r="G4" s="2" t="s">
        <v>285</v>
      </c>
    </row>
    <row r="5">
      <c r="A5" s="2">
        <v>3.0</v>
      </c>
      <c r="B5" s="21">
        <v>46288.0</v>
      </c>
      <c r="C5" s="22">
        <v>4995000.0</v>
      </c>
      <c r="D5" s="22">
        <f t="shared" si="1"/>
        <v>99900</v>
      </c>
      <c r="E5" s="4">
        <v>6500.0</v>
      </c>
      <c r="F5" s="22">
        <f t="shared" si="2"/>
        <v>4888600</v>
      </c>
      <c r="G5" s="2" t="s">
        <v>293</v>
      </c>
    </row>
    <row r="6">
      <c r="A6" s="2">
        <v>4.0</v>
      </c>
      <c r="B6" s="21">
        <v>46289.0</v>
      </c>
      <c r="C6" s="22">
        <v>1.221E7</v>
      </c>
      <c r="D6" s="22">
        <f t="shared" si="1"/>
        <v>244200</v>
      </c>
      <c r="E6" s="4">
        <v>6500.0</v>
      </c>
      <c r="F6" s="22">
        <f t="shared" si="2"/>
        <v>11959300</v>
      </c>
      <c r="G6" s="2" t="s">
        <v>285</v>
      </c>
    </row>
    <row r="7">
      <c r="A7" s="2">
        <v>5.0</v>
      </c>
      <c r="B7" s="21">
        <v>46289.0</v>
      </c>
      <c r="C7" s="22">
        <v>8.103E7</v>
      </c>
      <c r="D7" s="22">
        <f t="shared" si="1"/>
        <v>1620600</v>
      </c>
      <c r="E7" s="4">
        <v>6500.0</v>
      </c>
      <c r="F7" s="22">
        <f t="shared" si="2"/>
        <v>79402900</v>
      </c>
      <c r="G7" s="2" t="s">
        <v>285</v>
      </c>
    </row>
    <row r="8">
      <c r="A8" s="2">
        <v>6.0</v>
      </c>
      <c r="B8" s="21">
        <v>46294.0</v>
      </c>
      <c r="C8" s="22">
        <v>1.443E7</v>
      </c>
      <c r="D8" s="22">
        <f t="shared" si="1"/>
        <v>288600</v>
      </c>
      <c r="E8" s="4">
        <v>0.0</v>
      </c>
      <c r="F8" s="22">
        <f t="shared" si="2"/>
        <v>14141400</v>
      </c>
      <c r="G8" s="2" t="s">
        <v>293</v>
      </c>
    </row>
    <row r="9">
      <c r="A9" s="2">
        <v>7.0</v>
      </c>
      <c r="B9" s="21">
        <v>46294.0</v>
      </c>
      <c r="C9" s="22">
        <v>1.665E8</v>
      </c>
      <c r="D9" s="22">
        <f t="shared" si="1"/>
        <v>3330000</v>
      </c>
      <c r="E9" s="4">
        <v>0.0</v>
      </c>
      <c r="F9" s="22">
        <f t="shared" si="2"/>
        <v>163170000</v>
      </c>
      <c r="G9" s="2" t="s">
        <v>285</v>
      </c>
    </row>
    <row r="10">
      <c r="A10" s="2">
        <v>8.0</v>
      </c>
      <c r="B10" s="20">
        <v>46296.0</v>
      </c>
      <c r="C10" s="22">
        <v>6.66E7</v>
      </c>
      <c r="D10" s="22">
        <f t="shared" si="1"/>
        <v>1332000</v>
      </c>
      <c r="E10" s="4">
        <v>0.0</v>
      </c>
      <c r="F10" s="22">
        <f t="shared" si="2"/>
        <v>65268000</v>
      </c>
      <c r="G10" s="3" t="s">
        <v>285</v>
      </c>
    </row>
    <row r="11">
      <c r="A11" s="2">
        <v>9.0</v>
      </c>
      <c r="B11" s="20">
        <v>46296.0</v>
      </c>
      <c r="C11" s="22">
        <v>2.22E7</v>
      </c>
      <c r="D11" s="22">
        <f t="shared" si="1"/>
        <v>444000</v>
      </c>
      <c r="E11" s="4">
        <v>0.0</v>
      </c>
      <c r="F11" s="22">
        <f t="shared" si="2"/>
        <v>21756000</v>
      </c>
      <c r="G11" s="2" t="s">
        <v>285</v>
      </c>
    </row>
    <row r="12">
      <c r="A12" s="2">
        <v>10.0</v>
      </c>
      <c r="B12" s="25">
        <v>46298.0</v>
      </c>
      <c r="C12" s="22">
        <v>2.109E7</v>
      </c>
      <c r="D12" s="22">
        <f t="shared" si="1"/>
        <v>421800</v>
      </c>
      <c r="E12" s="4">
        <v>0.0</v>
      </c>
      <c r="F12" s="22">
        <f t="shared" si="2"/>
        <v>20668200</v>
      </c>
      <c r="G12" s="2" t="s">
        <v>293</v>
      </c>
    </row>
    <row r="13">
      <c r="A13" s="2">
        <v>11.0</v>
      </c>
      <c r="B13" s="21">
        <v>46305.0</v>
      </c>
      <c r="C13" s="22">
        <v>2.553E8</v>
      </c>
      <c r="D13" s="22">
        <f t="shared" si="1"/>
        <v>5106000</v>
      </c>
      <c r="E13" s="4">
        <v>6500.0</v>
      </c>
      <c r="F13" s="22">
        <f t="shared" si="2"/>
        <v>250187500</v>
      </c>
      <c r="G13" s="2" t="s">
        <v>293</v>
      </c>
    </row>
    <row r="14">
      <c r="A14" s="2">
        <v>12.0</v>
      </c>
      <c r="B14" s="21">
        <v>46312.0</v>
      </c>
      <c r="C14" s="22">
        <v>7770000.0</v>
      </c>
      <c r="D14" s="22">
        <f t="shared" si="1"/>
        <v>155400</v>
      </c>
      <c r="E14" s="4">
        <v>0.0</v>
      </c>
      <c r="F14" s="22">
        <f t="shared" si="2"/>
        <v>7614600</v>
      </c>
      <c r="G14" s="3" t="s">
        <v>285</v>
      </c>
    </row>
    <row r="15">
      <c r="A15" s="2">
        <v>13.0</v>
      </c>
      <c r="B15" s="21">
        <v>46312.0</v>
      </c>
      <c r="C15" s="22">
        <v>9.879E7</v>
      </c>
      <c r="D15" s="22">
        <f t="shared" si="1"/>
        <v>1975800</v>
      </c>
      <c r="E15" s="4">
        <v>6500.0</v>
      </c>
      <c r="F15" s="22">
        <f t="shared" si="2"/>
        <v>96807700</v>
      </c>
      <c r="G15" s="3" t="s">
        <v>293</v>
      </c>
    </row>
    <row r="16">
      <c r="A16" s="2">
        <v>14.0</v>
      </c>
      <c r="B16" s="21">
        <v>46313.0</v>
      </c>
      <c r="C16" s="22">
        <v>2.109E7</v>
      </c>
      <c r="D16" s="22">
        <f t="shared" si="1"/>
        <v>421800</v>
      </c>
      <c r="E16" s="4">
        <v>0.0</v>
      </c>
      <c r="F16" s="22">
        <f t="shared" si="2"/>
        <v>20668200</v>
      </c>
      <c r="G16" s="3" t="s">
        <v>285</v>
      </c>
    </row>
    <row r="17">
      <c r="A17" s="2">
        <v>15.0</v>
      </c>
      <c r="B17" s="21">
        <v>46313.0</v>
      </c>
      <c r="C17" s="22">
        <v>3.885E8</v>
      </c>
      <c r="D17" s="22">
        <f t="shared" si="1"/>
        <v>7770000</v>
      </c>
      <c r="E17" s="4">
        <v>0.0</v>
      </c>
      <c r="F17" s="22">
        <f t="shared" si="2"/>
        <v>380730000</v>
      </c>
      <c r="G17" s="2" t="s">
        <v>293</v>
      </c>
    </row>
    <row r="18">
      <c r="A18" s="2">
        <v>16.0</v>
      </c>
      <c r="B18" s="21">
        <v>46322.0</v>
      </c>
      <c r="C18" s="22">
        <v>2.331E7</v>
      </c>
      <c r="D18" s="22">
        <f t="shared" si="1"/>
        <v>466200</v>
      </c>
      <c r="E18" s="4">
        <v>0.0</v>
      </c>
      <c r="F18" s="22">
        <f t="shared" si="2"/>
        <v>22843800</v>
      </c>
      <c r="G18" s="2" t="s">
        <v>293</v>
      </c>
    </row>
    <row r="19">
      <c r="A19" s="2">
        <v>17.0</v>
      </c>
      <c r="B19" s="21">
        <v>46323.0</v>
      </c>
      <c r="C19" s="22">
        <v>7.77E7</v>
      </c>
      <c r="D19" s="22">
        <f t="shared" si="1"/>
        <v>1554000</v>
      </c>
      <c r="E19" s="4">
        <v>6500.0</v>
      </c>
      <c r="F19" s="22">
        <f t="shared" si="2"/>
        <v>76139500</v>
      </c>
      <c r="G19" s="3" t="s">
        <v>285</v>
      </c>
    </row>
    <row r="20">
      <c r="A20" s="2">
        <v>18.0</v>
      </c>
      <c r="B20" s="21">
        <v>46267.0</v>
      </c>
      <c r="C20" s="22">
        <v>5550000.0</v>
      </c>
      <c r="D20" s="22">
        <f t="shared" si="1"/>
        <v>111000</v>
      </c>
      <c r="E20" s="4">
        <v>6500.0</v>
      </c>
      <c r="F20" s="22">
        <f t="shared" si="2"/>
        <v>5432500</v>
      </c>
      <c r="G20" s="3" t="s">
        <v>285</v>
      </c>
    </row>
    <row r="21">
      <c r="A21" s="2">
        <v>19.0</v>
      </c>
      <c r="B21" s="21">
        <v>46270.0</v>
      </c>
      <c r="C21" s="22">
        <v>3.219E7</v>
      </c>
      <c r="D21" s="22">
        <f t="shared" si="1"/>
        <v>643800</v>
      </c>
      <c r="E21" s="4">
        <v>0.0</v>
      </c>
      <c r="F21" s="22">
        <f t="shared" si="2"/>
        <v>31546200</v>
      </c>
      <c r="G21" s="3" t="s">
        <v>285</v>
      </c>
    </row>
    <row r="22">
      <c r="A22" s="2">
        <v>20.0</v>
      </c>
      <c r="B22" s="21">
        <v>46270.0</v>
      </c>
      <c r="C22" s="22">
        <v>1.554E7</v>
      </c>
      <c r="D22" s="22">
        <f t="shared" si="1"/>
        <v>310800</v>
      </c>
      <c r="E22" s="4">
        <v>6500.0</v>
      </c>
      <c r="F22" s="22">
        <f t="shared" si="2"/>
        <v>15222700</v>
      </c>
      <c r="G22" s="2" t="s">
        <v>293</v>
      </c>
    </row>
  </sheetData>
  <drawing r:id="rId1"/>
</worksheet>
</file>